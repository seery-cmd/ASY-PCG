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博二\TPDS\data\"/>
    </mc:Choice>
  </mc:AlternateContent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<sst xmlns="http://schemas.openxmlformats.org/spreadsheetml/2006/main" count="144" uniqueCount="122">
  <si>
    <t>matrix</t>
  </si>
  <si>
    <t>nnz</t>
  </si>
  <si>
    <t>none_time</t>
  </si>
  <si>
    <t>jacobi_time</t>
  </si>
  <si>
    <t>ICCG_time</t>
  </si>
  <si>
    <t>SSOR_time</t>
  </si>
  <si>
    <t>aft01.mtx</t>
  </si>
  <si>
    <t>*</t>
  </si>
  <si>
    <t>apache1.mtx</t>
  </si>
  <si>
    <t>bcsstk06.mtx</t>
  </si>
  <si>
    <t>bcsstk07.mtx</t>
  </si>
  <si>
    <t>bcsstk08.mtx</t>
  </si>
  <si>
    <t>bcsstk09.mtx</t>
  </si>
  <si>
    <t>bcsstk10.mtx</t>
  </si>
  <si>
    <t>bcsstk11.mtx</t>
  </si>
  <si>
    <t>bcsstk12.mtx</t>
  </si>
  <si>
    <t>bcsstk13.mtx</t>
  </si>
  <si>
    <t>bcsstk14.mtx</t>
  </si>
  <si>
    <t>bcsstk15.mtx</t>
  </si>
  <si>
    <t>bcsstk16.mtx</t>
  </si>
  <si>
    <t>bcsstk17.mtx</t>
  </si>
  <si>
    <t>bcsstk18.mtx</t>
  </si>
  <si>
    <t>bcsstk19.mtx</t>
  </si>
  <si>
    <t>bcsstk21.mtx</t>
  </si>
  <si>
    <t>bcsstk23.mtx</t>
  </si>
  <si>
    <t>bcsstk24.mtx</t>
  </si>
  <si>
    <t>bcsstk25.mtx</t>
  </si>
  <si>
    <t>bcsstk26.mtx</t>
  </si>
  <si>
    <t>bcsstk27.mtx</t>
  </si>
  <si>
    <t>bcsstk28.mtx</t>
  </si>
  <si>
    <t>bcsstk34.mtx</t>
  </si>
  <si>
    <t>bcsstk36.mtx</t>
  </si>
  <si>
    <t>bcsstk38.mtx</t>
  </si>
  <si>
    <t>bcsstm07.mtx</t>
  </si>
  <si>
    <t>bcsstm12.mtx</t>
  </si>
  <si>
    <t>bcsstm25.mtx</t>
  </si>
  <si>
    <t>bcsstm39.mtx</t>
  </si>
  <si>
    <t>bloweybq.mtx</t>
  </si>
  <si>
    <t>bodyy4.mtx</t>
  </si>
  <si>
    <t>bodyy5.mtx</t>
  </si>
  <si>
    <t>bodyy6.mtx</t>
  </si>
  <si>
    <t>bundle1.mtx</t>
  </si>
  <si>
    <t>cbuckle.mtx</t>
  </si>
  <si>
    <t>Chem97ZtZ.mtx</t>
  </si>
  <si>
    <t>crystm01.mtx</t>
  </si>
  <si>
    <t>crystm02.mtx</t>
  </si>
  <si>
    <t>crystm03.mtx</t>
  </si>
  <si>
    <t>cvxbqp1.mtx</t>
  </si>
  <si>
    <t>Dubcova1.mtx</t>
  </si>
  <si>
    <t>Dubcova2.mtx</t>
  </si>
  <si>
    <t>ex10.mtx</t>
  </si>
  <si>
    <t>ex10hs.mtx</t>
  </si>
  <si>
    <t>ex13.mtx</t>
  </si>
  <si>
    <t>ex15.mtx</t>
  </si>
  <si>
    <t>ex3.mtx</t>
  </si>
  <si>
    <t>ex33.mtx</t>
  </si>
  <si>
    <t>ex9.mtx</t>
  </si>
  <si>
    <t>finan512.mtx</t>
  </si>
  <si>
    <t>fv1.mtx</t>
  </si>
  <si>
    <t>fv2.mtx</t>
  </si>
  <si>
    <t>fv3.mtx</t>
  </si>
  <si>
    <t>G2_circuit.mtx</t>
  </si>
  <si>
    <t>gr_30_30.mtx</t>
  </si>
  <si>
    <t>gridgena.mtx</t>
  </si>
  <si>
    <t>gyro.mtx</t>
  </si>
  <si>
    <t>gyro_m.mtx</t>
  </si>
  <si>
    <t>jnlbrng1.mtx</t>
  </si>
  <si>
    <t>Journals.mtx</t>
  </si>
  <si>
    <t>Kuu.mtx</t>
  </si>
  <si>
    <t>LF10000.mtx</t>
  </si>
  <si>
    <t>LFAT5000.mtx</t>
  </si>
  <si>
    <t>mhd3200b.mtx</t>
  </si>
  <si>
    <t>mhd4800b.mtx</t>
  </si>
  <si>
    <t>minsurfo.mtx</t>
  </si>
  <si>
    <t>msc00726.mtx</t>
  </si>
  <si>
    <t>msc01050.mtx</t>
  </si>
  <si>
    <t>msc01440.mtx</t>
  </si>
  <si>
    <t>msc04515.mtx</t>
  </si>
  <si>
    <t>msc23052.mtx</t>
  </si>
  <si>
    <t>Muu.mtx</t>
  </si>
  <si>
    <t>nasa1824.mtx</t>
  </si>
  <si>
    <t>nasa2146.mtx</t>
  </si>
  <si>
    <t>nasa2910.mtx</t>
  </si>
  <si>
    <t>nasa4704.mtx</t>
  </si>
  <si>
    <t>nos3.mtx</t>
  </si>
  <si>
    <t>nos5.mtx</t>
  </si>
  <si>
    <t>obstclae.mtx</t>
  </si>
  <si>
    <t>olafu.mtx</t>
  </si>
  <si>
    <t>plat1919.mtx</t>
  </si>
  <si>
    <t>plat362.mtx</t>
  </si>
  <si>
    <t>plbuckle.mtx</t>
  </si>
  <si>
    <t>Pres_Poisson.mtx</t>
  </si>
  <si>
    <t>s1rmq4m1.mtx</t>
  </si>
  <si>
    <t>s3rmt3m3.mtx</t>
  </si>
  <si>
    <t>shallow_water1.mtx</t>
  </si>
  <si>
    <t>shallow_water2.mtx</t>
  </si>
  <si>
    <t>Spielman_k100_A_01.mtx</t>
  </si>
  <si>
    <t>sts4098.mtx</t>
  </si>
  <si>
    <t>t2dah_e.mtx</t>
  </si>
  <si>
    <t>ted_B.mtx</t>
  </si>
  <si>
    <t>ted_B_unscaled.mtx</t>
  </si>
  <si>
    <t>thermal1.mtx</t>
  </si>
  <si>
    <t>thermomech_dM.mtx</t>
  </si>
  <si>
    <t>thermomech_TK.mtx</t>
  </si>
  <si>
    <t>torsion1.mtx</t>
  </si>
  <si>
    <t>Trefethen_150.mtx</t>
  </si>
  <si>
    <t>Trefethen_200.mtx</t>
  </si>
  <si>
    <t>Trefethen_2000.mtx</t>
  </si>
  <si>
    <t>Trefethen_20000.mtx</t>
  </si>
  <si>
    <t>Trefethen_20000b.mtx</t>
  </si>
  <si>
    <t>Trefethen_200b.mtx</t>
  </si>
  <si>
    <t>Trefethen_300.mtx</t>
  </si>
  <si>
    <t>Trefethen_500.mtx</t>
  </si>
  <si>
    <t>Trefethen_700.mtx</t>
  </si>
  <si>
    <t>uni_chimera_i1.mtx</t>
  </si>
  <si>
    <t>uni_chimera_i2.mtx</t>
  </si>
  <si>
    <t>uni_chimera_i5_A_05.mtx</t>
  </si>
  <si>
    <t>vanbody.mtx</t>
  </si>
  <si>
    <t>wathen100.mtx</t>
  </si>
  <si>
    <t>wathen120.mtx</t>
  </si>
  <si>
    <t>x104.mtx</t>
  </si>
  <si>
    <t>avg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</si>
</sst>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center"/>
    </xf>
    <xf numFmtId="0" fontId="2" fillId="0" borderId="1" xfId="0" applyFont="1" applyFill="1" applyBorder="1" applyAlignment="1">
      <alignment horizontal="center" vertical="top"/>
    </xf>
    <xf numFmtId="0" fontId="0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6"/>
  <sheetViews>
    <sheetView tabSelected="1" topLeftCell="A92" workbookViewId="0">
      <selection activeCell="N119" sqref="N119"/>
    </sheetView>
  </sheetViews>
  <sheetFormatPr defaultColWidth="9" defaultRowHeight="14.4"/>
  <cols>
    <col min="1" max="1" width="26.5555555555556" style="2" customWidth="1"/>
    <col min="2" max="2" width="9.66666666666667" style="2"/>
    <col min="3" max="3" width="12.8888888888889" style="2" customWidth="1"/>
    <col min="4" max="4" width="14.4444444444444" style="2" customWidth="1"/>
    <col min="5" max="5" width="12.8888888888889" style="2" customWidth="1"/>
    <col min="6" max="6" width="11.8888888888889" style="2" customWidth="1"/>
    <col min="7" max="10" width="12.8888888888889" style="2"/>
    <col min="11" max="15" width="14.1111111111111" style="2"/>
    <col min="16" max="16384" width="9" style="1"/>
  </cols>
  <sheetData>
    <row r="1" s="1" customFormat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/>
      <c r="H1" s="2"/>
      <c r="I1" s="2"/>
      <c r="J1" s="2"/>
      <c r="K1" s="2"/>
      <c r="L1" s="2">
        <v>0</v>
      </c>
      <c r="M1" s="2">
        <v>1</v>
      </c>
      <c r="N1" s="2">
        <v>2</v>
      </c>
      <c r="O1" s="2">
        <v>3</v>
      </c>
    </row>
    <row r="2" s="1" customFormat="1" spans="1:15">
      <c r="A2" s="2" t="s">
        <v>6</v>
      </c>
      <c r="B2" s="2">
        <v>125567</v>
      </c>
      <c r="C2" s="2" t="s">
        <v>7</v>
      </c>
      <c r="D2" s="2">
        <v>789.2132</v>
      </c>
      <c r="E2" s="2">
        <v>156.606</v>
      </c>
      <c r="F2" s="2">
        <v>387.3362</v>
      </c>
      <c r="G2" s="4">
        <v>0.265332996845245</v>
      </c>
      <c r="H2" s="4">
        <v>0.358332991600037</v>
      </c>
      <c r="I2" s="4">
        <v>0.682332992553711</v>
      </c>
      <c r="J2" s="4">
        <v>0.646667003631592</v>
      </c>
      <c r="K2" s="2"/>
      <c r="L2" s="2">
        <v>1000</v>
      </c>
      <c r="M2" s="2">
        <v>1000</v>
      </c>
      <c r="N2" s="2">
        <f>E2/I2</f>
        <v>229.515503000791</v>
      </c>
      <c r="O2" s="2">
        <f>F2/J2</f>
        <v>598.973193041819</v>
      </c>
    </row>
    <row r="3" s="1" customFormat="1" spans="1:15">
      <c r="A3" s="2" t="s">
        <v>8</v>
      </c>
      <c r="B3" s="2">
        <v>542184</v>
      </c>
      <c r="C3" s="2">
        <v>17161.6096</v>
      </c>
      <c r="D3" s="2">
        <v>6974.1958</v>
      </c>
      <c r="E3" s="2">
        <v>2035.5328</v>
      </c>
      <c r="F3" s="2">
        <v>6692.296</v>
      </c>
      <c r="G3" s="4">
        <v>2711.71459960938</v>
      </c>
      <c r="H3" s="4">
        <v>20.0793323516846</v>
      </c>
      <c r="I3" s="4">
        <v>569.043640136719</v>
      </c>
      <c r="J3" s="4">
        <v>1285.14904785156</v>
      </c>
      <c r="K3" s="2"/>
      <c r="L3">
        <f t="shared" ref="L3:L34" si="0">C3/G3</f>
        <v>6.32869314583183</v>
      </c>
      <c r="M3" s="2">
        <f t="shared" ref="M3:M34" si="1">D3/H3</f>
        <v>347.332056556895</v>
      </c>
      <c r="N3" s="2">
        <f t="shared" ref="N3:N34" si="2">E3/I3</f>
        <v>3.57711194085385</v>
      </c>
      <c r="O3" s="2">
        <f t="shared" ref="O3:O34" si="3">F3/J3</f>
        <v>5.20740844121373</v>
      </c>
    </row>
    <row r="4" s="1" customFormat="1" spans="1:15">
      <c r="A4" s="2" t="s">
        <v>9</v>
      </c>
      <c r="B4" s="2">
        <v>7860</v>
      </c>
      <c r="C4" s="2">
        <v>21.6842</v>
      </c>
      <c r="D4" s="2">
        <v>8.9842</v>
      </c>
      <c r="E4" s="2">
        <v>54.9462</v>
      </c>
      <c r="F4" s="2">
        <v>11.3132</v>
      </c>
      <c r="G4" s="4">
        <v>2.77166700363159</v>
      </c>
      <c r="H4" s="4">
        <v>1.49500000476837</v>
      </c>
      <c r="I4" s="4">
        <v>1.96866703033447</v>
      </c>
      <c r="J4" s="4">
        <v>1.94466698169708</v>
      </c>
      <c r="K4" s="2"/>
      <c r="L4">
        <f t="shared" si="0"/>
        <v>7.82352280111145</v>
      </c>
      <c r="M4" s="2">
        <f t="shared" si="1"/>
        <v>6.00949830859163</v>
      </c>
      <c r="N4" s="2">
        <f t="shared" si="2"/>
        <v>27.9103571875559</v>
      </c>
      <c r="O4" s="2">
        <f t="shared" si="3"/>
        <v>5.81755133731285</v>
      </c>
    </row>
    <row r="5" s="1" customFormat="1" spans="1:15">
      <c r="A5" s="2" t="s">
        <v>10</v>
      </c>
      <c r="B5" s="2">
        <v>7860</v>
      </c>
      <c r="C5" s="2">
        <v>21.701</v>
      </c>
      <c r="D5" s="2">
        <v>8.9642</v>
      </c>
      <c r="E5" s="2">
        <v>54.9544</v>
      </c>
      <c r="F5" s="2">
        <v>11.321</v>
      </c>
      <c r="G5" s="4">
        <v>2.8443329334259</v>
      </c>
      <c r="H5" s="4">
        <v>1.52666699886322</v>
      </c>
      <c r="I5" s="4">
        <v>1.49566698074341</v>
      </c>
      <c r="J5" s="4">
        <v>1.94966697692871</v>
      </c>
      <c r="K5" s="2"/>
      <c r="L5">
        <f t="shared" si="0"/>
        <v>7.62955691472513</v>
      </c>
      <c r="M5" s="2">
        <f t="shared" si="1"/>
        <v>5.87174544722253</v>
      </c>
      <c r="N5" s="2">
        <f t="shared" si="2"/>
        <v>36.742403695163</v>
      </c>
      <c r="O5" s="2">
        <f t="shared" si="3"/>
        <v>5.80663268853938</v>
      </c>
    </row>
    <row r="6" s="1" customFormat="1" spans="1:15">
      <c r="A6" s="2" t="s">
        <v>11</v>
      </c>
      <c r="B6" s="2">
        <v>12960</v>
      </c>
      <c r="C6" s="2">
        <v>151.095</v>
      </c>
      <c r="D6" s="2">
        <v>14.0104</v>
      </c>
      <c r="E6" s="2">
        <v>5.5044</v>
      </c>
      <c r="F6" s="2">
        <v>11.4978</v>
      </c>
      <c r="G6" s="4">
        <v>15.9213333129883</v>
      </c>
      <c r="H6" s="4">
        <v>2.60633301734924</v>
      </c>
      <c r="I6" s="4">
        <v>0.968333005905151</v>
      </c>
      <c r="J6" s="4">
        <v>2.13133311271667</v>
      </c>
      <c r="K6" s="2"/>
      <c r="L6">
        <f t="shared" si="0"/>
        <v>9.49009715641967</v>
      </c>
      <c r="M6" s="2">
        <f t="shared" si="1"/>
        <v>5.37552181810182</v>
      </c>
      <c r="N6" s="2">
        <f t="shared" si="2"/>
        <v>5.68440811831541</v>
      </c>
      <c r="O6" s="2">
        <f t="shared" si="3"/>
        <v>5.39465179393967</v>
      </c>
    </row>
    <row r="7" s="1" customFormat="1" spans="1:15">
      <c r="A7" s="2" t="s">
        <v>12</v>
      </c>
      <c r="B7" s="2">
        <v>18437</v>
      </c>
      <c r="C7" s="2">
        <v>24.4582</v>
      </c>
      <c r="D7" s="2">
        <v>15.594</v>
      </c>
      <c r="E7" s="2">
        <v>18.019</v>
      </c>
      <c r="F7" s="2">
        <v>22.8218</v>
      </c>
      <c r="G7" s="4">
        <v>4.64433288574219</v>
      </c>
      <c r="H7" s="4">
        <v>3.72199988365173</v>
      </c>
      <c r="I7" s="4">
        <v>4.79933309555054</v>
      </c>
      <c r="J7" s="4">
        <v>5.07999992370605</v>
      </c>
      <c r="K7" s="2"/>
      <c r="L7">
        <f t="shared" si="0"/>
        <v>5.26624611148894</v>
      </c>
      <c r="M7" s="2">
        <f t="shared" si="1"/>
        <v>4.18968309711509</v>
      </c>
      <c r="N7" s="2">
        <f t="shared" si="2"/>
        <v>3.75447997487514</v>
      </c>
      <c r="O7" s="2">
        <f t="shared" si="3"/>
        <v>4.49248038243092</v>
      </c>
    </row>
    <row r="8" s="1" customFormat="1" spans="1:15">
      <c r="A8" s="2" t="s">
        <v>13</v>
      </c>
      <c r="B8" s="2">
        <v>22070</v>
      </c>
      <c r="C8" s="2">
        <v>134.901</v>
      </c>
      <c r="D8" s="2">
        <v>31.2598</v>
      </c>
      <c r="E8" s="2">
        <v>156.2104</v>
      </c>
      <c r="F8" s="2">
        <v>23.4916</v>
      </c>
      <c r="G8" s="4">
        <v>32.8786659240723</v>
      </c>
      <c r="H8" s="4">
        <v>7.29699993133545</v>
      </c>
      <c r="I8" s="4">
        <v>3.49933290481567</v>
      </c>
      <c r="J8" s="4">
        <v>4.82233285903931</v>
      </c>
      <c r="K8" s="2"/>
      <c r="L8">
        <f t="shared" si="0"/>
        <v>4.10299494242044</v>
      </c>
      <c r="M8" s="2">
        <f t="shared" si="1"/>
        <v>4.2839249409557</v>
      </c>
      <c r="N8" s="2">
        <f t="shared" si="2"/>
        <v>44.6400511894791</v>
      </c>
      <c r="O8" s="2">
        <f t="shared" si="3"/>
        <v>4.87141818839107</v>
      </c>
    </row>
    <row r="9" s="1" customFormat="1" spans="1:15">
      <c r="A9" s="2" t="s">
        <v>14</v>
      </c>
      <c r="B9" s="2">
        <v>34241</v>
      </c>
      <c r="C9" s="2">
        <v>144.7612</v>
      </c>
      <c r="D9" s="2">
        <v>97.0538</v>
      </c>
      <c r="E9" s="2">
        <v>197.7478</v>
      </c>
      <c r="F9" s="2">
        <v>66.4564</v>
      </c>
      <c r="G9" s="4">
        <v>30.7736663818359</v>
      </c>
      <c r="H9" s="4">
        <v>11.0953330993652</v>
      </c>
      <c r="I9" s="4">
        <v>6.70466709136963</v>
      </c>
      <c r="J9" s="4">
        <v>9.10400009155273</v>
      </c>
      <c r="K9" s="2"/>
      <c r="L9">
        <f t="shared" si="0"/>
        <v>4.70406087476938</v>
      </c>
      <c r="M9" s="2">
        <f t="shared" si="1"/>
        <v>8.74726329807554</v>
      </c>
      <c r="N9" s="2">
        <f t="shared" si="2"/>
        <v>29.4940520245285</v>
      </c>
      <c r="O9" s="2">
        <f t="shared" si="3"/>
        <v>7.29969236947421</v>
      </c>
    </row>
    <row r="10" s="1" customFormat="1" spans="1:15">
      <c r="A10" s="2" t="s">
        <v>15</v>
      </c>
      <c r="B10" s="2">
        <v>34241</v>
      </c>
      <c r="C10" s="2">
        <v>146.4958</v>
      </c>
      <c r="D10" s="2">
        <v>98.0472</v>
      </c>
      <c r="E10" s="2">
        <v>198.2474</v>
      </c>
      <c r="F10" s="2">
        <v>67.0284</v>
      </c>
      <c r="G10" s="4">
        <v>29.8593330383301</v>
      </c>
      <c r="H10" s="4">
        <v>11.0496673583984</v>
      </c>
      <c r="I10" s="4">
        <v>6.67199993133545</v>
      </c>
      <c r="J10" s="4">
        <v>9.63433265686035</v>
      </c>
      <c r="K10" s="2"/>
      <c r="L10">
        <f t="shared" si="0"/>
        <v>4.90619799886169</v>
      </c>
      <c r="M10" s="2">
        <f t="shared" si="1"/>
        <v>8.87331688998568</v>
      </c>
      <c r="N10" s="2">
        <f t="shared" si="2"/>
        <v>29.7133396343305</v>
      </c>
      <c r="O10" s="2">
        <f t="shared" si="3"/>
        <v>6.95724368124977</v>
      </c>
    </row>
    <row r="11" s="1" customFormat="1" spans="1:15">
      <c r="A11" s="2" t="s">
        <v>16</v>
      </c>
      <c r="B11" s="2">
        <v>83883</v>
      </c>
      <c r="C11" s="2">
        <v>2668.1072</v>
      </c>
      <c r="D11" s="2">
        <v>781.7954</v>
      </c>
      <c r="E11" s="2">
        <v>3437.8458</v>
      </c>
      <c r="F11" s="2">
        <v>523.8486</v>
      </c>
      <c r="G11" s="4">
        <v>405.107330322266</v>
      </c>
      <c r="H11" s="4">
        <v>72.9489974975586</v>
      </c>
      <c r="I11" s="4">
        <v>52.1590003967285</v>
      </c>
      <c r="J11" s="4">
        <v>56.6940002441406</v>
      </c>
      <c r="K11" s="2"/>
      <c r="L11">
        <f t="shared" si="0"/>
        <v>6.58617358979286</v>
      </c>
      <c r="M11" s="2">
        <f t="shared" si="1"/>
        <v>10.7170136234725</v>
      </c>
      <c r="N11" s="2">
        <f t="shared" si="2"/>
        <v>65.9108835263574</v>
      </c>
      <c r="O11" s="2">
        <f t="shared" si="3"/>
        <v>9.23993011154898</v>
      </c>
    </row>
    <row r="12" s="1" customFormat="1" spans="1:15">
      <c r="A12" s="2" t="s">
        <v>17</v>
      </c>
      <c r="B12" s="2">
        <v>63454</v>
      </c>
      <c r="C12" s="2">
        <v>697.1242</v>
      </c>
      <c r="D12" s="2">
        <v>97.152</v>
      </c>
      <c r="E12" s="2">
        <v>652.1988</v>
      </c>
      <c r="F12" s="2">
        <v>91.6972</v>
      </c>
      <c r="G12" s="4">
        <v>104.765335083008</v>
      </c>
      <c r="H12" s="4">
        <v>9.68266677856445</v>
      </c>
      <c r="I12" s="4">
        <v>7.14833307266235</v>
      </c>
      <c r="J12" s="4">
        <v>11.4386672973633</v>
      </c>
      <c r="K12" s="2"/>
      <c r="L12">
        <f t="shared" si="0"/>
        <v>6.65414948033767</v>
      </c>
      <c r="M12" s="2">
        <f t="shared" si="1"/>
        <v>10.0335994433967</v>
      </c>
      <c r="N12" s="2">
        <f t="shared" si="2"/>
        <v>91.2378862834791</v>
      </c>
      <c r="O12" s="2">
        <f t="shared" si="3"/>
        <v>8.01642338361715</v>
      </c>
    </row>
    <row r="13" s="1" customFormat="1" spans="1:15">
      <c r="A13" s="2" t="s">
        <v>18</v>
      </c>
      <c r="B13" s="2">
        <v>117816</v>
      </c>
      <c r="C13" s="2">
        <v>2408.166</v>
      </c>
      <c r="D13" s="2">
        <v>400.862</v>
      </c>
      <c r="E13" s="2">
        <v>2259.9596</v>
      </c>
      <c r="F13" s="2">
        <v>278.5232</v>
      </c>
      <c r="G13" s="4">
        <v>490.969329833984</v>
      </c>
      <c r="H13" s="4">
        <v>92.4183349609375</v>
      </c>
      <c r="I13" s="4">
        <v>56.1290016174316</v>
      </c>
      <c r="J13" s="4">
        <v>66.5573348999023</v>
      </c>
      <c r="K13" s="2"/>
      <c r="L13">
        <f t="shared" si="0"/>
        <v>4.90492145571353</v>
      </c>
      <c r="M13" s="2">
        <f t="shared" si="1"/>
        <v>4.33747264727754</v>
      </c>
      <c r="N13" s="2">
        <f t="shared" si="2"/>
        <v>40.2636700257669</v>
      </c>
      <c r="O13" s="2">
        <f t="shared" si="3"/>
        <v>4.1847108274224</v>
      </c>
    </row>
    <row r="14" s="1" customFormat="1" spans="1:15">
      <c r="A14" s="2" t="s">
        <v>19</v>
      </c>
      <c r="B14" s="2">
        <v>290378</v>
      </c>
      <c r="C14" s="2">
        <v>212.8838</v>
      </c>
      <c r="D14" s="2">
        <v>134.4496</v>
      </c>
      <c r="E14" s="2">
        <v>77.2752</v>
      </c>
      <c r="F14" s="2">
        <v>85.9642</v>
      </c>
      <c r="G14" s="4">
        <v>77.6403350830078</v>
      </c>
      <c r="H14" s="4">
        <v>56.1576652526855</v>
      </c>
      <c r="I14" s="4">
        <v>32.267333984375</v>
      </c>
      <c r="J14" s="4">
        <v>43.0620002746582</v>
      </c>
      <c r="K14" s="2"/>
      <c r="L14">
        <f t="shared" si="0"/>
        <v>2.74192273606752</v>
      </c>
      <c r="M14" s="2">
        <f t="shared" si="1"/>
        <v>2.39414511616596</v>
      </c>
      <c r="N14" s="2">
        <f t="shared" si="2"/>
        <v>2.39484303343497</v>
      </c>
      <c r="O14" s="2">
        <f t="shared" si="3"/>
        <v>1.99628905883848</v>
      </c>
    </row>
    <row r="15" s="1" customFormat="1" spans="1:15">
      <c r="A15" s="2" t="s">
        <v>20</v>
      </c>
      <c r="B15" s="2">
        <v>428650</v>
      </c>
      <c r="C15" s="2">
        <v>9969.3172</v>
      </c>
      <c r="D15" s="2">
        <v>3859.959</v>
      </c>
      <c r="E15" s="2">
        <v>16165.7918</v>
      </c>
      <c r="F15" s="2">
        <v>2529.9878</v>
      </c>
      <c r="G15" s="4">
        <v>2835.63842773438</v>
      </c>
      <c r="H15" s="4">
        <v>1063.68664550781</v>
      </c>
      <c r="I15" s="4">
        <v>751.705322265625</v>
      </c>
      <c r="J15" s="4">
        <v>918.997314453125</v>
      </c>
      <c r="K15" s="2"/>
      <c r="L15">
        <f t="shared" si="0"/>
        <v>3.51572228056074</v>
      </c>
      <c r="M15" s="2">
        <f t="shared" si="1"/>
        <v>3.62884973342618</v>
      </c>
      <c r="N15" s="2">
        <f t="shared" si="2"/>
        <v>21.5054906772199</v>
      </c>
      <c r="O15" s="2">
        <f t="shared" si="3"/>
        <v>2.75298715263987</v>
      </c>
    </row>
    <row r="16" s="1" customFormat="1" spans="1:15">
      <c r="A16" s="2" t="s">
        <v>21</v>
      </c>
      <c r="B16" s="2">
        <v>149090</v>
      </c>
      <c r="C16" s="2">
        <v>4353.5924</v>
      </c>
      <c r="D16" s="2">
        <v>818.4568</v>
      </c>
      <c r="E16" s="2">
        <v>3662.5616</v>
      </c>
      <c r="F16" s="2">
        <v>662.9356</v>
      </c>
      <c r="G16" s="4">
        <v>1184.52270507812</v>
      </c>
      <c r="H16" s="4">
        <v>127.147003173828</v>
      </c>
      <c r="I16" s="4">
        <v>82.1256637573242</v>
      </c>
      <c r="J16" s="4">
        <v>89.0616683959961</v>
      </c>
      <c r="K16" s="2"/>
      <c r="L16">
        <f t="shared" si="0"/>
        <v>3.67539801587246</v>
      </c>
      <c r="M16" s="2">
        <f t="shared" si="1"/>
        <v>6.43709076556884</v>
      </c>
      <c r="N16" s="2">
        <f t="shared" si="2"/>
        <v>44.5970410762539</v>
      </c>
      <c r="O16" s="2">
        <f t="shared" si="3"/>
        <v>7.44355694138112</v>
      </c>
    </row>
    <row r="17" s="1" customFormat="1" spans="1:15">
      <c r="A17" s="2" t="s">
        <v>22</v>
      </c>
      <c r="B17" s="2">
        <v>6853</v>
      </c>
      <c r="C17" s="2" t="s">
        <v>7</v>
      </c>
      <c r="D17" s="2">
        <v>57.2856</v>
      </c>
      <c r="E17" s="2">
        <v>22.991</v>
      </c>
      <c r="F17" s="2">
        <v>60.5304</v>
      </c>
      <c r="G17" s="4">
        <v>1.19900000095367</v>
      </c>
      <c r="H17" s="4">
        <v>1.40699994564056</v>
      </c>
      <c r="I17" s="4">
        <v>1.89233303070068</v>
      </c>
      <c r="J17" s="4">
        <v>4.55533313751221</v>
      </c>
      <c r="K17" s="2"/>
      <c r="L17" s="2">
        <v>1000</v>
      </c>
      <c r="M17" s="2">
        <f t="shared" si="1"/>
        <v>40.7147137265309</v>
      </c>
      <c r="N17" s="2">
        <f t="shared" si="2"/>
        <v>12.1495527621198</v>
      </c>
      <c r="O17" s="2">
        <f t="shared" si="3"/>
        <v>13.2878097326285</v>
      </c>
    </row>
    <row r="18" s="1" customFormat="1" spans="1:15">
      <c r="A18" s="2" t="s">
        <v>23</v>
      </c>
      <c r="B18" s="2">
        <v>26600</v>
      </c>
      <c r="C18" s="2">
        <v>207.224</v>
      </c>
      <c r="D18" s="2">
        <v>69.4362</v>
      </c>
      <c r="E18" s="2">
        <v>239.711</v>
      </c>
      <c r="F18" s="2">
        <v>62.2818</v>
      </c>
      <c r="G18" s="4">
        <v>48.132999420166</v>
      </c>
      <c r="H18" s="4">
        <v>16.0033321380615</v>
      </c>
      <c r="I18" s="4">
        <v>10.9306669235229</v>
      </c>
      <c r="J18" s="4">
        <v>10.0273332595825</v>
      </c>
      <c r="K18" s="2"/>
      <c r="L18">
        <f t="shared" si="0"/>
        <v>4.30523762276033</v>
      </c>
      <c r="M18" s="2">
        <f t="shared" si="1"/>
        <v>4.33885889519574</v>
      </c>
      <c r="N18" s="2">
        <f t="shared" si="2"/>
        <v>21.9301348835486</v>
      </c>
      <c r="O18" s="2">
        <f t="shared" si="3"/>
        <v>6.21120275826887</v>
      </c>
    </row>
    <row r="19" s="1" customFormat="1" spans="1:15">
      <c r="A19" s="2" t="s">
        <v>24</v>
      </c>
      <c r="B19" s="2">
        <v>45178</v>
      </c>
      <c r="C19" s="2" t="s">
        <v>7</v>
      </c>
      <c r="D19" s="2">
        <v>830.9594</v>
      </c>
      <c r="E19" s="2">
        <v>179.527</v>
      </c>
      <c r="F19" s="2">
        <v>1458.405</v>
      </c>
      <c r="G19" s="4">
        <v>45.3986663818359</v>
      </c>
      <c r="H19" s="4">
        <v>23.6653327941894</v>
      </c>
      <c r="I19" s="4">
        <v>19.0343322753906</v>
      </c>
      <c r="J19" s="4">
        <v>36.2330017089844</v>
      </c>
      <c r="K19" s="2"/>
      <c r="L19" s="2">
        <v>1000</v>
      </c>
      <c r="M19" s="2">
        <f t="shared" si="1"/>
        <v>35.1129395570565</v>
      </c>
      <c r="N19" s="2">
        <f t="shared" si="2"/>
        <v>9.43174666715835</v>
      </c>
      <c r="O19" s="2">
        <f t="shared" si="3"/>
        <v>40.250736378774</v>
      </c>
    </row>
    <row r="20" s="1" customFormat="1" spans="1:15">
      <c r="A20" s="2" t="s">
        <v>25</v>
      </c>
      <c r="B20" s="2">
        <v>159910</v>
      </c>
      <c r="C20" s="2" t="s">
        <v>7</v>
      </c>
      <c r="D20" s="2">
        <v>1931.1246</v>
      </c>
      <c r="E20" s="2">
        <v>974.9462</v>
      </c>
      <c r="F20" s="2">
        <v>1227.9024</v>
      </c>
      <c r="G20" s="4">
        <v>66.3536682128906</v>
      </c>
      <c r="H20" s="4">
        <v>54.8826675415039</v>
      </c>
      <c r="I20" s="4">
        <v>38.3803329467773</v>
      </c>
      <c r="J20" s="4">
        <v>182.634674072266</v>
      </c>
      <c r="K20" s="2"/>
      <c r="L20" s="2">
        <v>1000</v>
      </c>
      <c r="M20" s="2">
        <f t="shared" si="1"/>
        <v>35.1864201669794</v>
      </c>
      <c r="N20" s="2">
        <f t="shared" si="2"/>
        <v>25.4022340387712</v>
      </c>
      <c r="O20" s="2">
        <f t="shared" si="3"/>
        <v>6.72327095737656</v>
      </c>
    </row>
    <row r="21" s="1" customFormat="1" spans="1:15">
      <c r="A21" s="2" t="s">
        <v>26</v>
      </c>
      <c r="B21" s="2">
        <v>252241</v>
      </c>
      <c r="C21" s="2" t="s">
        <v>7</v>
      </c>
      <c r="D21" s="2">
        <v>1334.7472</v>
      </c>
      <c r="E21" s="2">
        <v>3165.7816</v>
      </c>
      <c r="F21" s="2">
        <v>1879.6604</v>
      </c>
      <c r="G21" s="4">
        <v>399.997985839844</v>
      </c>
      <c r="H21" s="4">
        <v>92.8990020751953</v>
      </c>
      <c r="I21" s="4">
        <v>58.7516670227051</v>
      </c>
      <c r="J21" s="4">
        <v>66.7993316650391</v>
      </c>
      <c r="K21" s="2"/>
      <c r="L21" s="2">
        <v>1000</v>
      </c>
      <c r="M21" s="2">
        <f t="shared" si="1"/>
        <v>14.3677237665009</v>
      </c>
      <c r="N21" s="2">
        <f t="shared" si="2"/>
        <v>53.8841153013847</v>
      </c>
      <c r="O21" s="2">
        <f t="shared" si="3"/>
        <v>28.138910272717</v>
      </c>
    </row>
    <row r="22" s="1" customFormat="1" spans="1:15">
      <c r="A22" s="2" t="s">
        <v>27</v>
      </c>
      <c r="B22" s="2">
        <v>30336</v>
      </c>
      <c r="C22" s="2">
        <v>1238.1962</v>
      </c>
      <c r="D22" s="2">
        <v>204.2596</v>
      </c>
      <c r="E22" s="2">
        <v>1512.8096</v>
      </c>
      <c r="F22" s="2">
        <v>151.9702</v>
      </c>
      <c r="G22" s="4">
        <v>169.699661254883</v>
      </c>
      <c r="H22" s="4">
        <v>27.242000579834</v>
      </c>
      <c r="I22" s="4">
        <v>14.5806665420532</v>
      </c>
      <c r="J22" s="4">
        <v>26.2976665496826</v>
      </c>
      <c r="K22" s="2"/>
      <c r="L22">
        <f t="shared" si="0"/>
        <v>7.29639759351241</v>
      </c>
      <c r="M22" s="2">
        <f t="shared" si="1"/>
        <v>7.49796621585876</v>
      </c>
      <c r="N22" s="2">
        <f t="shared" si="2"/>
        <v>103.754488564483</v>
      </c>
      <c r="O22" s="2">
        <f t="shared" si="3"/>
        <v>5.77884732521389</v>
      </c>
    </row>
    <row r="23" s="1" customFormat="1" spans="1:15">
      <c r="A23" s="2" t="s">
        <v>28</v>
      </c>
      <c r="B23" s="2">
        <v>56126</v>
      </c>
      <c r="C23" s="2">
        <v>103.1372</v>
      </c>
      <c r="D23" s="2">
        <v>40.7308</v>
      </c>
      <c r="E23" s="2">
        <v>9.2382</v>
      </c>
      <c r="F23" s="2">
        <v>21.1742</v>
      </c>
      <c r="G23" s="4">
        <v>29.6860008239746</v>
      </c>
      <c r="H23" s="4">
        <v>13.045000076294</v>
      </c>
      <c r="I23" s="4">
        <v>3.00366711616516</v>
      </c>
      <c r="J23" s="4">
        <v>9.14700031280518</v>
      </c>
      <c r="K23" s="2"/>
      <c r="L23">
        <f t="shared" si="0"/>
        <v>3.47427060356024</v>
      </c>
      <c r="M23" s="2">
        <f t="shared" si="1"/>
        <v>3.12233037652625</v>
      </c>
      <c r="N23" s="2">
        <f t="shared" si="2"/>
        <v>3.07564042309542</v>
      </c>
      <c r="O23" s="2">
        <f t="shared" si="3"/>
        <v>2.31487911620136</v>
      </c>
    </row>
    <row r="24" s="1" customFormat="1" spans="1:15">
      <c r="A24" s="2" t="s">
        <v>29</v>
      </c>
      <c r="B24" s="2">
        <v>219024</v>
      </c>
      <c r="C24" s="2">
        <v>19333.088</v>
      </c>
      <c r="D24" s="2">
        <v>3251.1968</v>
      </c>
      <c r="E24" s="2">
        <v>33372.8256</v>
      </c>
      <c r="F24" s="2">
        <v>1540.0976</v>
      </c>
      <c r="G24" s="4">
        <v>3680.95092773438</v>
      </c>
      <c r="H24" s="4">
        <v>1138.91271972656</v>
      </c>
      <c r="I24" s="4">
        <v>586.742309570313</v>
      </c>
      <c r="J24" s="4">
        <v>837.9306640625</v>
      </c>
      <c r="K24" s="2"/>
      <c r="L24">
        <f t="shared" si="0"/>
        <v>5.25219933097546</v>
      </c>
      <c r="M24" s="2">
        <f t="shared" si="1"/>
        <v>2.85464965285538</v>
      </c>
      <c r="N24" s="2">
        <f t="shared" si="2"/>
        <v>56.8781644951424</v>
      </c>
      <c r="O24" s="2">
        <f t="shared" si="3"/>
        <v>1.83797737217685</v>
      </c>
    </row>
    <row r="25" s="1" customFormat="1" spans="1:15">
      <c r="A25" s="2" t="s">
        <v>30</v>
      </c>
      <c r="B25" s="2">
        <v>21418</v>
      </c>
      <c r="C25" s="2">
        <v>45.5152</v>
      </c>
      <c r="D25" s="2">
        <v>10.0726</v>
      </c>
      <c r="E25" s="2">
        <v>47.3404</v>
      </c>
      <c r="F25" s="2">
        <v>6.4164</v>
      </c>
      <c r="G25" s="4">
        <v>9.17866706848145</v>
      </c>
      <c r="H25" s="4">
        <v>2.06933307647705</v>
      </c>
      <c r="I25" s="4">
        <v>1.22533297538757</v>
      </c>
      <c r="J25" s="4">
        <v>1.65900003910065</v>
      </c>
      <c r="K25" s="2"/>
      <c r="L25">
        <f t="shared" si="0"/>
        <v>4.95880280441746</v>
      </c>
      <c r="M25" s="2">
        <f t="shared" si="1"/>
        <v>4.8675585938771</v>
      </c>
      <c r="N25" s="2">
        <f t="shared" si="2"/>
        <v>38.6347229291094</v>
      </c>
      <c r="O25" s="2">
        <f t="shared" si="3"/>
        <v>3.86763101191869</v>
      </c>
    </row>
    <row r="26" s="1" customFormat="1" spans="1:15">
      <c r="A26" s="2" t="s">
        <v>31</v>
      </c>
      <c r="B26" s="2">
        <v>1143140</v>
      </c>
      <c r="C26" s="2">
        <v>21559.2288</v>
      </c>
      <c r="D26" s="2">
        <v>11148.4834</v>
      </c>
      <c r="E26" s="2">
        <v>37028.7922</v>
      </c>
      <c r="F26" s="2">
        <v>15575.248</v>
      </c>
      <c r="G26" s="4">
        <v>7219.55029296875</v>
      </c>
      <c r="H26" s="4">
        <v>3436.81372070313</v>
      </c>
      <c r="I26" s="4">
        <v>1765.87536621094</v>
      </c>
      <c r="J26" s="4">
        <v>1931.37902832031</v>
      </c>
      <c r="K26" s="2"/>
      <c r="L26">
        <f t="shared" si="0"/>
        <v>2.98622877120157</v>
      </c>
      <c r="M26" s="2">
        <f t="shared" si="1"/>
        <v>3.24384278753378</v>
      </c>
      <c r="N26" s="2">
        <f t="shared" si="2"/>
        <v>20.9690858757791</v>
      </c>
      <c r="O26" s="2">
        <f t="shared" si="3"/>
        <v>8.06431455018208</v>
      </c>
    </row>
    <row r="27" s="1" customFormat="1" spans="1:15">
      <c r="A27" s="2" t="s">
        <v>32</v>
      </c>
      <c r="B27" s="2">
        <v>355460</v>
      </c>
      <c r="C27" s="2">
        <v>624.3192</v>
      </c>
      <c r="D27" s="2">
        <v>1828.5522</v>
      </c>
      <c r="E27" s="2">
        <v>7139.7896</v>
      </c>
      <c r="F27" s="2">
        <v>3387.7866</v>
      </c>
      <c r="G27" s="4">
        <v>115.710998535156</v>
      </c>
      <c r="H27" s="4">
        <v>40.675666809082</v>
      </c>
      <c r="I27" s="4">
        <v>34.2620010375977</v>
      </c>
      <c r="J27" s="4">
        <v>43.0136680603027</v>
      </c>
      <c r="K27" s="2"/>
      <c r="L27">
        <f t="shared" si="0"/>
        <v>5.39550438509366</v>
      </c>
      <c r="M27" s="2">
        <f t="shared" si="1"/>
        <v>44.9544492677308</v>
      </c>
      <c r="N27" s="2">
        <f t="shared" si="2"/>
        <v>208.38799205467</v>
      </c>
      <c r="O27" s="2">
        <f t="shared" si="3"/>
        <v>78.7606998605773</v>
      </c>
    </row>
    <row r="28" s="1" customFormat="1" spans="1:15">
      <c r="A28" s="2" t="s">
        <v>33</v>
      </c>
      <c r="B28" s="2">
        <v>7252</v>
      </c>
      <c r="C28" s="2">
        <v>11.5306</v>
      </c>
      <c r="D28" s="2">
        <v>2.295</v>
      </c>
      <c r="E28" s="2">
        <v>1.0822</v>
      </c>
      <c r="F28" s="2">
        <v>1.9898</v>
      </c>
      <c r="G28" s="4">
        <v>1.66566705703735</v>
      </c>
      <c r="H28" s="4">
        <v>0.38833299279213</v>
      </c>
      <c r="I28" s="4">
        <v>0.244000002741814</v>
      </c>
      <c r="J28" s="4">
        <v>0.366667002439499</v>
      </c>
      <c r="K28" s="2"/>
      <c r="L28">
        <f t="shared" si="0"/>
        <v>6.92251188572402</v>
      </c>
      <c r="M28" s="2">
        <f t="shared" si="1"/>
        <v>5.90987642718394</v>
      </c>
      <c r="N28" s="2">
        <f t="shared" si="2"/>
        <v>4.43524585180074</v>
      </c>
      <c r="O28" s="2">
        <f t="shared" si="3"/>
        <v>5.4267223032384</v>
      </c>
    </row>
    <row r="29" s="1" customFormat="1" spans="1:15">
      <c r="A29" s="2" t="s">
        <v>34</v>
      </c>
      <c r="B29" s="2">
        <v>19659</v>
      </c>
      <c r="C29" s="2">
        <v>117.2826</v>
      </c>
      <c r="D29" s="2">
        <v>17.7424</v>
      </c>
      <c r="E29" s="2">
        <v>3.3098</v>
      </c>
      <c r="F29" s="2">
        <v>2.4842</v>
      </c>
      <c r="G29" s="4">
        <v>18.0886669158936</v>
      </c>
      <c r="H29" s="4">
        <v>3.58366703987122</v>
      </c>
      <c r="I29" s="4">
        <v>0.850332975387573</v>
      </c>
      <c r="J29" s="4">
        <v>3.8423330783844</v>
      </c>
      <c r="K29" s="2"/>
      <c r="L29">
        <f t="shared" si="0"/>
        <v>6.48376138193742</v>
      </c>
      <c r="M29" s="2">
        <f t="shared" si="1"/>
        <v>4.95090637679263</v>
      </c>
      <c r="N29" s="2">
        <f t="shared" si="2"/>
        <v>3.89235757732602</v>
      </c>
      <c r="O29" s="2">
        <f t="shared" si="3"/>
        <v>0.646534266895087</v>
      </c>
    </row>
    <row r="30" s="1" customFormat="1" spans="1:15">
      <c r="A30" s="2" t="s">
        <v>35</v>
      </c>
      <c r="B30" s="2">
        <v>15439</v>
      </c>
      <c r="C30" s="2">
        <v>330.6672</v>
      </c>
      <c r="D30" s="2">
        <v>0.8848</v>
      </c>
      <c r="E30" s="2">
        <v>1.2712</v>
      </c>
      <c r="F30" s="2">
        <v>1.5466</v>
      </c>
      <c r="G30" s="4">
        <v>60.2283325195313</v>
      </c>
      <c r="H30" s="4">
        <v>0.369332998991013</v>
      </c>
      <c r="I30" s="4">
        <v>0.520332992076874</v>
      </c>
      <c r="J30" s="4">
        <v>0.496666997671127</v>
      </c>
      <c r="K30" s="2"/>
      <c r="L30">
        <f t="shared" si="0"/>
        <v>5.49022671170198</v>
      </c>
      <c r="M30" s="2">
        <f t="shared" si="1"/>
        <v>2.39567003873794</v>
      </c>
      <c r="N30" s="2">
        <f t="shared" si="2"/>
        <v>2.44305092960969</v>
      </c>
      <c r="O30" s="2">
        <f t="shared" si="3"/>
        <v>3.11395765624052</v>
      </c>
    </row>
    <row r="31" s="1" customFormat="1" spans="1:15">
      <c r="A31" s="2" t="s">
        <v>36</v>
      </c>
      <c r="B31" s="2">
        <v>46772</v>
      </c>
      <c r="C31" s="2">
        <v>409.4024</v>
      </c>
      <c r="D31" s="2">
        <v>2.6222</v>
      </c>
      <c r="E31" s="2">
        <v>3.8842</v>
      </c>
      <c r="F31" s="2">
        <v>4.7036</v>
      </c>
      <c r="G31" s="4">
        <v>116.742668151855</v>
      </c>
      <c r="H31" s="4">
        <v>1.16499996185303</v>
      </c>
      <c r="I31" s="4">
        <v>1.60266697406769</v>
      </c>
      <c r="J31" s="4">
        <v>1.5723329782486</v>
      </c>
      <c r="K31" s="2"/>
      <c r="L31">
        <f t="shared" si="0"/>
        <v>3.50687890281438</v>
      </c>
      <c r="M31" s="2">
        <f t="shared" si="1"/>
        <v>2.25081552434489</v>
      </c>
      <c r="N31" s="2">
        <f t="shared" si="2"/>
        <v>2.42358522565771</v>
      </c>
      <c r="O31" s="2">
        <f t="shared" si="3"/>
        <v>2.99147830966395</v>
      </c>
    </row>
    <row r="32" s="1" customFormat="1" spans="1:15">
      <c r="A32" s="2" t="s">
        <v>37</v>
      </c>
      <c r="B32" s="2">
        <v>69991</v>
      </c>
      <c r="C32" s="2">
        <v>30.7578</v>
      </c>
      <c r="D32" s="2">
        <v>4121.6506</v>
      </c>
      <c r="E32" s="2">
        <v>3240.5702</v>
      </c>
      <c r="F32" s="2">
        <v>3085.0526</v>
      </c>
      <c r="G32" s="4">
        <v>5.20133304595947</v>
      </c>
      <c r="H32" s="4">
        <v>4.61033296585083</v>
      </c>
      <c r="I32" s="4">
        <v>0.699666976928711</v>
      </c>
      <c r="J32" s="4">
        <v>4.68833303451538</v>
      </c>
      <c r="K32" s="2"/>
      <c r="L32">
        <f t="shared" si="0"/>
        <v>5.91344559716157</v>
      </c>
      <c r="M32" s="2">
        <f t="shared" si="1"/>
        <v>894.002804250681</v>
      </c>
      <c r="N32" s="2">
        <v>1000</v>
      </c>
      <c r="O32" s="2">
        <f t="shared" si="3"/>
        <v>658.027613927579</v>
      </c>
    </row>
    <row r="33" s="1" customFormat="1" spans="1:15">
      <c r="A33" s="2" t="s">
        <v>38</v>
      </c>
      <c r="B33" s="2">
        <v>121938</v>
      </c>
      <c r="C33" s="2">
        <v>117.479</v>
      </c>
      <c r="D33" s="2">
        <v>19.246</v>
      </c>
      <c r="E33" s="2">
        <v>35.7954</v>
      </c>
      <c r="F33" s="2">
        <v>81.0142</v>
      </c>
      <c r="G33" s="4">
        <v>26.3513336181641</v>
      </c>
      <c r="H33" s="4">
        <v>4.28466701507568</v>
      </c>
      <c r="I33" s="4">
        <v>11.0303325653076</v>
      </c>
      <c r="J33" s="4">
        <v>22.2686672210693</v>
      </c>
      <c r="K33" s="2"/>
      <c r="L33">
        <f t="shared" si="0"/>
        <v>4.45818043603763</v>
      </c>
      <c r="M33" s="2">
        <f t="shared" si="1"/>
        <v>4.49183097129429</v>
      </c>
      <c r="N33" s="2">
        <f t="shared" si="2"/>
        <v>3.24517867326893</v>
      </c>
      <c r="O33" s="2">
        <f t="shared" si="3"/>
        <v>3.63803541522005</v>
      </c>
    </row>
    <row r="34" s="1" customFormat="1" spans="1:15">
      <c r="A34" s="2" t="s">
        <v>39</v>
      </c>
      <c r="B34" s="2">
        <v>129281</v>
      </c>
      <c r="C34" s="2">
        <v>305.7386</v>
      </c>
      <c r="D34" s="2">
        <v>17.655</v>
      </c>
      <c r="E34" s="2">
        <v>67.004</v>
      </c>
      <c r="F34" s="2">
        <v>200.3398</v>
      </c>
      <c r="G34" s="4">
        <v>65.7336654663086</v>
      </c>
      <c r="H34" s="4">
        <v>2.39499998092651</v>
      </c>
      <c r="I34" s="4">
        <v>18.33766746521</v>
      </c>
      <c r="J34" s="4">
        <v>46.0626678466797</v>
      </c>
      <c r="K34" s="2"/>
      <c r="L34">
        <f t="shared" si="0"/>
        <v>4.65117223923416</v>
      </c>
      <c r="M34" s="2">
        <f t="shared" si="1"/>
        <v>7.37160757436421</v>
      </c>
      <c r="N34" s="2">
        <f t="shared" si="2"/>
        <v>3.65389982816076</v>
      </c>
      <c r="O34" s="2">
        <f t="shared" si="3"/>
        <v>4.34928781517463</v>
      </c>
    </row>
    <row r="35" s="1" customFormat="1" spans="1:15">
      <c r="A35" s="2" t="s">
        <v>40</v>
      </c>
      <c r="B35" s="2">
        <v>134748</v>
      </c>
      <c r="C35" s="2">
        <v>624.6532</v>
      </c>
      <c r="D35" s="2">
        <v>18.2182</v>
      </c>
      <c r="E35" s="2">
        <v>108.1786</v>
      </c>
      <c r="F35" s="2">
        <v>469.2344</v>
      </c>
      <c r="G35" s="4">
        <v>126.30233001709</v>
      </c>
      <c r="H35" s="4">
        <v>1.56633305549622</v>
      </c>
      <c r="I35" s="4">
        <v>20.4060001373291</v>
      </c>
      <c r="J35" s="4">
        <v>68.3926696777344</v>
      </c>
      <c r="K35" s="2"/>
      <c r="L35">
        <f t="shared" ref="L35:L66" si="4">C35/G35</f>
        <v>4.94569815074257</v>
      </c>
      <c r="M35" s="2">
        <f t="shared" ref="M35:M66" si="5">D35/H35</f>
        <v>11.6311150659005</v>
      </c>
      <c r="N35" s="2">
        <f t="shared" ref="N35:N66" si="6">E35/I35</f>
        <v>5.30131330353697</v>
      </c>
      <c r="O35" s="2">
        <f t="shared" ref="O35:O66" si="7">F35/J35</f>
        <v>6.86088731747171</v>
      </c>
    </row>
    <row r="36" s="1" customFormat="1" spans="1:15">
      <c r="A36" s="2" t="s">
        <v>41</v>
      </c>
      <c r="B36" s="2">
        <v>770901</v>
      </c>
      <c r="C36" s="2" t="s">
        <v>7</v>
      </c>
      <c r="D36" s="2">
        <v>85.1228</v>
      </c>
      <c r="E36" s="2">
        <v>112.1916</v>
      </c>
      <c r="F36" s="2">
        <v>75.1476</v>
      </c>
      <c r="G36" s="4">
        <v>114.002334594727</v>
      </c>
      <c r="H36" s="4">
        <v>32.8059997558594</v>
      </c>
      <c r="I36" s="4">
        <v>34.8740005493164</v>
      </c>
      <c r="J36" s="4">
        <v>40.273998260498</v>
      </c>
      <c r="K36" s="2"/>
      <c r="L36" s="2">
        <v>1000</v>
      </c>
      <c r="M36" s="2">
        <f t="shared" si="5"/>
        <v>2.59473269016276</v>
      </c>
      <c r="N36" s="2">
        <f t="shared" si="6"/>
        <v>3.21705563551123</v>
      </c>
      <c r="O36" s="2">
        <f t="shared" si="7"/>
        <v>1.86590860718458</v>
      </c>
    </row>
    <row r="37" s="1" customFormat="1" spans="1:15">
      <c r="A37" s="2" t="s">
        <v>42</v>
      </c>
      <c r="B37" s="2">
        <v>676515</v>
      </c>
      <c r="C37" s="2">
        <v>5904.0168</v>
      </c>
      <c r="D37" s="2">
        <v>1060.725</v>
      </c>
      <c r="E37" s="2">
        <v>6709.024</v>
      </c>
      <c r="F37" s="2">
        <v>726.3108</v>
      </c>
      <c r="G37" s="4">
        <v>1347.17932128906</v>
      </c>
      <c r="H37" s="4">
        <v>232.727661132812</v>
      </c>
      <c r="I37" s="4">
        <v>139.954666137695</v>
      </c>
      <c r="J37" s="4">
        <v>216.796661376953</v>
      </c>
      <c r="K37" s="2"/>
      <c r="L37">
        <f t="shared" si="4"/>
        <v>4.38250254194126</v>
      </c>
      <c r="M37" s="2">
        <f t="shared" si="5"/>
        <v>4.55779512773374</v>
      </c>
      <c r="N37" s="2">
        <f t="shared" si="6"/>
        <v>47.9371226779913</v>
      </c>
      <c r="O37" s="2">
        <f t="shared" si="7"/>
        <v>3.35019365790479</v>
      </c>
    </row>
    <row r="38" s="1" customFormat="1" spans="1:15">
      <c r="A38" s="2" t="s">
        <v>43</v>
      </c>
      <c r="B38" s="2">
        <v>7361</v>
      </c>
      <c r="C38" s="2">
        <v>8.5224</v>
      </c>
      <c r="D38" s="2">
        <v>1.9326</v>
      </c>
      <c r="E38" s="2">
        <v>0.3446</v>
      </c>
      <c r="F38" s="2">
        <v>1.9502</v>
      </c>
      <c r="G38" s="4">
        <v>3.29200005531311</v>
      </c>
      <c r="H38" s="4">
        <v>0.905332982540131</v>
      </c>
      <c r="I38" s="4">
        <v>0.153667002916336</v>
      </c>
      <c r="J38" s="4">
        <v>0.763000011444092</v>
      </c>
      <c r="K38" s="2"/>
      <c r="L38">
        <f t="shared" si="4"/>
        <v>2.58882134167808</v>
      </c>
      <c r="M38" s="2">
        <f t="shared" si="5"/>
        <v>2.13468418501403</v>
      </c>
      <c r="N38" s="2">
        <f t="shared" si="6"/>
        <v>2.24251136197156</v>
      </c>
      <c r="O38" s="2">
        <f t="shared" si="7"/>
        <v>2.55596326441589</v>
      </c>
    </row>
    <row r="39" s="1" customFormat="1" spans="1:15">
      <c r="A39" s="2" t="s">
        <v>44</v>
      </c>
      <c r="B39" s="2">
        <v>105339</v>
      </c>
      <c r="C39" s="2">
        <v>35.1732</v>
      </c>
      <c r="D39" s="2">
        <v>4.9794</v>
      </c>
      <c r="E39" s="2">
        <v>3.757</v>
      </c>
      <c r="F39" s="2">
        <v>12.265</v>
      </c>
      <c r="G39" s="4">
        <v>11.1663331985474</v>
      </c>
      <c r="H39" s="4">
        <v>1.8093329668045</v>
      </c>
      <c r="I39" s="4">
        <v>1.39866697788239</v>
      </c>
      <c r="J39" s="4">
        <v>2.62066698074341</v>
      </c>
      <c r="K39" s="2"/>
      <c r="L39">
        <f t="shared" si="4"/>
        <v>3.14993287183796</v>
      </c>
      <c r="M39" s="2">
        <f t="shared" si="5"/>
        <v>2.75206393259623</v>
      </c>
      <c r="N39" s="2">
        <f t="shared" si="6"/>
        <v>2.68612904959562</v>
      </c>
      <c r="O39" s="2">
        <f t="shared" si="7"/>
        <v>4.68010628214988</v>
      </c>
    </row>
    <row r="40" s="1" customFormat="1" spans="1:15">
      <c r="A40" s="2" t="s">
        <v>45</v>
      </c>
      <c r="B40" s="2">
        <v>322905</v>
      </c>
      <c r="C40" s="2" t="s">
        <v>7</v>
      </c>
      <c r="D40" s="2">
        <v>14.9502</v>
      </c>
      <c r="E40" s="2">
        <v>11.226</v>
      </c>
      <c r="F40" s="2">
        <v>37.3492</v>
      </c>
      <c r="G40" s="4">
        <v>42.3199996948242</v>
      </c>
      <c r="H40" s="4">
        <v>5.15733289718628</v>
      </c>
      <c r="I40" s="4">
        <v>2.38866710662842</v>
      </c>
      <c r="J40" s="4">
        <v>8.94166660308838</v>
      </c>
      <c r="K40" s="2"/>
      <c r="L40" s="2">
        <v>1000</v>
      </c>
      <c r="M40" s="2">
        <f t="shared" si="5"/>
        <v>2.89882392663783</v>
      </c>
      <c r="N40" s="2">
        <f t="shared" si="6"/>
        <v>4.69969212907419</v>
      </c>
      <c r="O40" s="2">
        <f t="shared" si="7"/>
        <v>4.17698418627014</v>
      </c>
    </row>
    <row r="41" s="1" customFormat="1" spans="1:15">
      <c r="A41" s="2" t="s">
        <v>46</v>
      </c>
      <c r="B41" s="2">
        <v>583770</v>
      </c>
      <c r="C41" s="2" t="s">
        <v>7</v>
      </c>
      <c r="D41" s="2">
        <v>22.7588</v>
      </c>
      <c r="E41" s="2">
        <v>20.2578</v>
      </c>
      <c r="F41" s="2">
        <v>68.4916</v>
      </c>
      <c r="G41" s="4">
        <v>79.2710037231445</v>
      </c>
      <c r="H41" s="4">
        <v>9.40299987792969</v>
      </c>
      <c r="I41" s="4">
        <v>4.26833295822144</v>
      </c>
      <c r="J41" s="4">
        <v>16.1316661834717</v>
      </c>
      <c r="K41" s="2"/>
      <c r="L41" s="2">
        <v>1000</v>
      </c>
      <c r="M41" s="2">
        <f t="shared" si="5"/>
        <v>2.42037650701437</v>
      </c>
      <c r="N41" s="2">
        <f t="shared" si="6"/>
        <v>4.74606835930653</v>
      </c>
      <c r="O41" s="2">
        <f t="shared" si="7"/>
        <v>4.24578584884032</v>
      </c>
    </row>
    <row r="42" s="1" customFormat="1" spans="1:15">
      <c r="A42" s="2" t="s">
        <v>47</v>
      </c>
      <c r="B42" s="2">
        <v>349968</v>
      </c>
      <c r="C42" s="2">
        <v>547.6278</v>
      </c>
      <c r="D42" s="2">
        <v>24.1706</v>
      </c>
      <c r="E42" s="2">
        <v>625.0912</v>
      </c>
      <c r="F42" s="2">
        <v>2879.8812</v>
      </c>
      <c r="G42" s="4">
        <v>239.146667480469</v>
      </c>
      <c r="H42" s="4">
        <v>10.3533334732056</v>
      </c>
      <c r="I42" s="4">
        <v>429.842010498047</v>
      </c>
      <c r="J42" s="4">
        <v>535.970642089844</v>
      </c>
      <c r="K42" s="2"/>
      <c r="L42">
        <f t="shared" si="4"/>
        <v>2.28992444582036</v>
      </c>
      <c r="M42" s="2">
        <f t="shared" si="5"/>
        <v>2.33457176498308</v>
      </c>
      <c r="N42" s="2">
        <f t="shared" si="6"/>
        <v>1.45423477634427</v>
      </c>
      <c r="O42" s="2">
        <f t="shared" si="7"/>
        <v>5.37320698904484</v>
      </c>
    </row>
    <row r="43" s="1" customFormat="1" spans="1:15">
      <c r="A43" s="2" t="s">
        <v>48</v>
      </c>
      <c r="B43" s="2">
        <v>253009</v>
      </c>
      <c r="C43" s="2">
        <v>144.893</v>
      </c>
      <c r="D43" s="2">
        <v>155.5022</v>
      </c>
      <c r="E43" s="2">
        <v>145.7966</v>
      </c>
      <c r="F43" s="2">
        <v>138.2728</v>
      </c>
      <c r="G43" s="4">
        <v>44.8610000610352</v>
      </c>
      <c r="H43" s="4">
        <v>57.3016662597656</v>
      </c>
      <c r="I43" s="4">
        <v>56.5610008239746</v>
      </c>
      <c r="J43" s="4">
        <v>42.3563346862793</v>
      </c>
      <c r="K43" s="2"/>
      <c r="L43">
        <f t="shared" si="4"/>
        <v>3.22982099825834</v>
      </c>
      <c r="M43" s="2">
        <f t="shared" si="5"/>
        <v>2.71374656532782</v>
      </c>
      <c r="N43" s="2">
        <f t="shared" si="6"/>
        <v>2.57768776853399</v>
      </c>
      <c r="O43" s="2">
        <f t="shared" si="7"/>
        <v>3.26451287686117</v>
      </c>
    </row>
    <row r="44" s="1" customFormat="1" spans="1:15">
      <c r="A44" s="2" t="s">
        <v>49</v>
      </c>
      <c r="B44" s="2">
        <v>1030225</v>
      </c>
      <c r="C44" s="2">
        <v>1113.9332</v>
      </c>
      <c r="D44" s="2">
        <v>1213.9504</v>
      </c>
      <c r="E44" s="2">
        <v>1110.8896</v>
      </c>
      <c r="F44" s="2">
        <v>1065.7974</v>
      </c>
      <c r="G44" s="4">
        <v>395.738006591797</v>
      </c>
      <c r="H44" s="4">
        <v>469.765991210938</v>
      </c>
      <c r="I44" s="4">
        <v>595.107666015625</v>
      </c>
      <c r="J44" s="4">
        <v>421.240997314453</v>
      </c>
      <c r="K44" s="2"/>
      <c r="L44">
        <f t="shared" si="4"/>
        <v>2.81482491306179</v>
      </c>
      <c r="M44" s="2">
        <f t="shared" si="5"/>
        <v>2.58415982151186</v>
      </c>
      <c r="N44" s="2">
        <f t="shared" si="6"/>
        <v>1.86670356212624</v>
      </c>
      <c r="O44" s="2">
        <f t="shared" si="7"/>
        <v>2.53013692113256</v>
      </c>
    </row>
    <row r="45" s="1" customFormat="1" spans="1:15">
      <c r="A45" s="2" t="s">
        <v>50</v>
      </c>
      <c r="B45" s="2">
        <v>54840</v>
      </c>
      <c r="C45" s="2">
        <v>109.6218</v>
      </c>
      <c r="D45" s="2" t="s">
        <v>7</v>
      </c>
      <c r="E45" s="2">
        <v>139.3034</v>
      </c>
      <c r="F45" s="2" t="s">
        <v>7</v>
      </c>
      <c r="G45" s="4">
        <v>25.304666519165</v>
      </c>
      <c r="H45" s="4">
        <v>17.470666885376</v>
      </c>
      <c r="I45" s="4">
        <v>9.26700019836426</v>
      </c>
      <c r="J45" s="4">
        <v>8.06900024414062</v>
      </c>
      <c r="K45" s="2"/>
      <c r="L45">
        <f t="shared" si="4"/>
        <v>4.33207842976218</v>
      </c>
      <c r="M45" s="2">
        <v>1000</v>
      </c>
      <c r="N45" s="2">
        <f t="shared" si="6"/>
        <v>15.0321999587945</v>
      </c>
      <c r="O45" s="2">
        <v>1000</v>
      </c>
    </row>
    <row r="46" s="1" customFormat="1" spans="1:15">
      <c r="A46" s="2" t="s">
        <v>51</v>
      </c>
      <c r="B46" s="2">
        <v>57308</v>
      </c>
      <c r="C46" s="2">
        <v>107.9004</v>
      </c>
      <c r="D46" s="2" t="s">
        <v>7</v>
      </c>
      <c r="E46" s="2">
        <v>133.4206</v>
      </c>
      <c r="F46" s="2" t="s">
        <v>7</v>
      </c>
      <c r="G46" s="4">
        <v>24.7143325805664</v>
      </c>
      <c r="H46" s="4">
        <v>15.4566669464111</v>
      </c>
      <c r="I46" s="4">
        <v>9.31033325195312</v>
      </c>
      <c r="J46" s="4">
        <v>8.6870002746582</v>
      </c>
      <c r="K46" s="2"/>
      <c r="L46">
        <f t="shared" si="4"/>
        <v>4.36590385956225</v>
      </c>
      <c r="M46" s="2">
        <v>1000</v>
      </c>
      <c r="N46" s="2">
        <f t="shared" si="6"/>
        <v>14.3303785578256</v>
      </c>
      <c r="O46" s="2">
        <v>1000</v>
      </c>
    </row>
    <row r="47" s="1" customFormat="1" spans="1:15">
      <c r="A47" s="2" t="s">
        <v>52</v>
      </c>
      <c r="B47" s="2">
        <v>75628</v>
      </c>
      <c r="C47" s="2">
        <v>288.8584</v>
      </c>
      <c r="D47" s="2">
        <v>46.4466</v>
      </c>
      <c r="E47" s="2">
        <v>420.898</v>
      </c>
      <c r="F47" s="2" t="s">
        <v>7</v>
      </c>
      <c r="G47" s="4">
        <v>64.3239974975586</v>
      </c>
      <c r="H47" s="4">
        <v>13.618332862854</v>
      </c>
      <c r="I47" s="4">
        <v>5.94999980926514</v>
      </c>
      <c r="J47" s="4">
        <v>7.14166688919067</v>
      </c>
      <c r="K47" s="2"/>
      <c r="L47">
        <f t="shared" si="4"/>
        <v>4.4906786150995</v>
      </c>
      <c r="M47" s="2">
        <f t="shared" si="5"/>
        <v>3.41059368042691</v>
      </c>
      <c r="N47" s="2">
        <f t="shared" si="6"/>
        <v>70.7391619314999</v>
      </c>
      <c r="O47" s="2">
        <v>1000</v>
      </c>
    </row>
    <row r="48" s="1" customFormat="1" spans="1:15">
      <c r="A48" s="2" t="s">
        <v>53</v>
      </c>
      <c r="B48" s="2">
        <v>98671</v>
      </c>
      <c r="C48" s="2">
        <v>519.6102</v>
      </c>
      <c r="D48" s="2" t="s">
        <v>7</v>
      </c>
      <c r="E48" s="2">
        <v>551.6888</v>
      </c>
      <c r="F48" s="2" t="s">
        <v>7</v>
      </c>
      <c r="G48" s="4">
        <v>119.61499786377</v>
      </c>
      <c r="H48" s="4">
        <v>18.4563331604004</v>
      </c>
      <c r="I48" s="4">
        <v>12.1149997711182</v>
      </c>
      <c r="J48" s="4">
        <v>8.84833335876465</v>
      </c>
      <c r="K48" s="2"/>
      <c r="L48">
        <f t="shared" si="4"/>
        <v>4.34402214839134</v>
      </c>
      <c r="M48" s="2">
        <v>1000</v>
      </c>
      <c r="N48" s="2">
        <f t="shared" si="6"/>
        <v>45.5376649131443</v>
      </c>
      <c r="O48" s="2">
        <v>1000</v>
      </c>
    </row>
    <row r="49" s="1" customFormat="1" spans="1:15">
      <c r="A49" s="2" t="s">
        <v>54</v>
      </c>
      <c r="B49" s="2">
        <v>52685</v>
      </c>
      <c r="C49" s="2">
        <v>53.6222</v>
      </c>
      <c r="D49" s="2">
        <v>36.4074</v>
      </c>
      <c r="E49" s="2">
        <v>71.6032</v>
      </c>
      <c r="F49" s="2">
        <v>49961.4604</v>
      </c>
      <c r="G49" s="4">
        <v>12.0376672744751</v>
      </c>
      <c r="H49" s="4">
        <v>10.0753326416016</v>
      </c>
      <c r="I49" s="4">
        <v>6.84966707229614</v>
      </c>
      <c r="J49" s="4">
        <v>6.42233276367187</v>
      </c>
      <c r="K49" s="2"/>
      <c r="L49">
        <f t="shared" si="4"/>
        <v>4.45453415328247</v>
      </c>
      <c r="M49" s="2">
        <f t="shared" si="5"/>
        <v>3.61351841126037</v>
      </c>
      <c r="N49" s="2">
        <f t="shared" si="6"/>
        <v>10.4535299663838</v>
      </c>
      <c r="O49" s="2">
        <v>1000</v>
      </c>
    </row>
    <row r="50" s="1" customFormat="1" spans="1:15">
      <c r="A50" s="2" t="s">
        <v>55</v>
      </c>
      <c r="B50" s="2">
        <v>22189</v>
      </c>
      <c r="C50" s="2">
        <v>53.5172</v>
      </c>
      <c r="D50" s="2" t="s">
        <v>7</v>
      </c>
      <c r="E50" s="2">
        <v>66.2778</v>
      </c>
      <c r="F50" s="2" t="s">
        <v>7</v>
      </c>
      <c r="G50" s="4">
        <v>6.68966722488403</v>
      </c>
      <c r="H50" s="4">
        <v>4.07533311843872</v>
      </c>
      <c r="I50" s="4">
        <v>7.29199981689453</v>
      </c>
      <c r="J50" s="4">
        <v>4.41366720199585</v>
      </c>
      <c r="K50" s="2"/>
      <c r="L50">
        <f t="shared" si="4"/>
        <v>7.99997940120673</v>
      </c>
      <c r="M50" s="2">
        <v>1000</v>
      </c>
      <c r="N50" s="2">
        <f t="shared" si="6"/>
        <v>9.08911158314126</v>
      </c>
      <c r="O50" s="2">
        <v>1000</v>
      </c>
    </row>
    <row r="51" s="1" customFormat="1" spans="1:15">
      <c r="A51" s="2" t="s">
        <v>56</v>
      </c>
      <c r="B51" s="2">
        <v>99471</v>
      </c>
      <c r="C51" s="2">
        <v>269.4436</v>
      </c>
      <c r="D51" s="2">
        <v>78.332</v>
      </c>
      <c r="E51" s="2">
        <v>363.3938</v>
      </c>
      <c r="F51" s="2" t="s">
        <v>7</v>
      </c>
      <c r="G51" s="4">
        <v>71.0676651000977</v>
      </c>
      <c r="H51" s="4">
        <v>22.7070007324219</v>
      </c>
      <c r="I51" s="4">
        <v>13.9860000610352</v>
      </c>
      <c r="J51" s="4">
        <v>13.6216669082642</v>
      </c>
      <c r="K51" s="2"/>
      <c r="L51">
        <f t="shared" si="4"/>
        <v>3.79136699679795</v>
      </c>
      <c r="M51" s="2">
        <f t="shared" si="5"/>
        <v>3.44968500785551</v>
      </c>
      <c r="N51" s="2">
        <f t="shared" si="6"/>
        <v>25.9826825692937</v>
      </c>
      <c r="O51" s="2">
        <v>1000</v>
      </c>
    </row>
    <row r="52" s="1" customFormat="1" spans="1:15">
      <c r="A52" s="2" t="s">
        <v>57</v>
      </c>
      <c r="B52" s="2">
        <v>596992</v>
      </c>
      <c r="C52" s="2">
        <v>175.4416</v>
      </c>
      <c r="D52" s="2">
        <v>80.427</v>
      </c>
      <c r="E52" s="2">
        <v>63.0324</v>
      </c>
      <c r="F52" s="2">
        <v>83.648</v>
      </c>
      <c r="G52" s="4">
        <v>56.0960006713867</v>
      </c>
      <c r="H52" s="4">
        <v>30.2646675109863</v>
      </c>
      <c r="I52" s="4">
        <v>25.554666519165</v>
      </c>
      <c r="J52" s="4">
        <v>21.3773326873779</v>
      </c>
      <c r="K52" s="2"/>
      <c r="L52">
        <f t="shared" si="4"/>
        <v>3.12752420672101</v>
      </c>
      <c r="M52" s="2">
        <f t="shared" si="5"/>
        <v>2.65745526432116</v>
      </c>
      <c r="N52" s="2">
        <f t="shared" si="6"/>
        <v>2.46657102540267</v>
      </c>
      <c r="O52" s="2">
        <f t="shared" si="7"/>
        <v>3.91292970097197</v>
      </c>
    </row>
    <row r="53" s="1" customFormat="1" spans="1:15">
      <c r="A53" s="2" t="s">
        <v>58</v>
      </c>
      <c r="B53" s="2">
        <v>85264</v>
      </c>
      <c r="C53" s="2">
        <v>13.6228</v>
      </c>
      <c r="D53" s="2">
        <v>14.3562</v>
      </c>
      <c r="E53" s="2">
        <v>8.0336</v>
      </c>
      <c r="F53" s="2">
        <v>13.7428</v>
      </c>
      <c r="G53" s="4">
        <v>3.26733303070068</v>
      </c>
      <c r="H53" s="4">
        <v>7.11299991607666</v>
      </c>
      <c r="I53" s="4">
        <v>3.74799990653992</v>
      </c>
      <c r="J53" s="4">
        <v>4.15100002288818</v>
      </c>
      <c r="K53" s="2"/>
      <c r="L53">
        <f t="shared" si="4"/>
        <v>4.16939438740917</v>
      </c>
      <c r="M53" s="2">
        <f t="shared" si="5"/>
        <v>2.01830453667691</v>
      </c>
      <c r="N53" s="2">
        <f t="shared" si="6"/>
        <v>2.14343655291509</v>
      </c>
      <c r="O53" s="2">
        <f t="shared" si="7"/>
        <v>3.31072029010447</v>
      </c>
    </row>
    <row r="54" s="1" customFormat="1" spans="1:15">
      <c r="A54" s="2" t="s">
        <v>59</v>
      </c>
      <c r="B54" s="2">
        <v>87025</v>
      </c>
      <c r="C54" s="2">
        <v>13.926</v>
      </c>
      <c r="D54" s="2">
        <v>14.7984</v>
      </c>
      <c r="E54" s="2">
        <v>8.2042</v>
      </c>
      <c r="F54" s="2">
        <v>13.6162</v>
      </c>
      <c r="G54" s="4">
        <v>3.27633309364319</v>
      </c>
      <c r="H54" s="4">
        <v>4.45333290100098</v>
      </c>
      <c r="I54" s="4">
        <v>3.69300007820129</v>
      </c>
      <c r="J54" s="4">
        <v>4.21999979019165</v>
      </c>
      <c r="K54" s="2"/>
      <c r="L54">
        <f t="shared" si="4"/>
        <v>4.25048357476824</v>
      </c>
      <c r="M54" s="2">
        <f t="shared" si="5"/>
        <v>3.32299433457439</v>
      </c>
      <c r="N54" s="2">
        <f t="shared" si="6"/>
        <v>2.22155424486098</v>
      </c>
      <c r="O54" s="2">
        <f t="shared" si="7"/>
        <v>3.22658783814338</v>
      </c>
    </row>
    <row r="55" s="1" customFormat="1" spans="1:15">
      <c r="A55" s="2" t="s">
        <v>60</v>
      </c>
      <c r="B55" s="2">
        <v>87025</v>
      </c>
      <c r="C55" s="2">
        <v>83.6934</v>
      </c>
      <c r="D55" s="2">
        <v>87.7582</v>
      </c>
      <c r="E55" s="2">
        <v>54.0826</v>
      </c>
      <c r="F55" s="2">
        <v>83.6448</v>
      </c>
      <c r="G55" s="4">
        <v>19.7403335571289</v>
      </c>
      <c r="H55" s="4">
        <v>25.841667175293</v>
      </c>
      <c r="I55" s="4">
        <v>24.0453338623047</v>
      </c>
      <c r="J55" s="4">
        <v>29.4236679077148</v>
      </c>
      <c r="K55" s="2"/>
      <c r="L55">
        <f t="shared" si="4"/>
        <v>4.23971559334546</v>
      </c>
      <c r="M55" s="2">
        <f t="shared" si="5"/>
        <v>3.39599606343916</v>
      </c>
      <c r="N55" s="2">
        <f t="shared" si="6"/>
        <v>2.24919314116008</v>
      </c>
      <c r="O55" s="2">
        <f t="shared" si="7"/>
        <v>2.8427727046929</v>
      </c>
    </row>
    <row r="56" s="1" customFormat="1" spans="1:15">
      <c r="A56" s="2" t="s">
        <v>61</v>
      </c>
      <c r="B56" s="2">
        <v>726674</v>
      </c>
      <c r="C56" s="2">
        <v>7002.8428</v>
      </c>
      <c r="D56" s="2">
        <v>9643.1694</v>
      </c>
      <c r="E56" s="2">
        <v>4001.7006</v>
      </c>
      <c r="F56" s="2">
        <v>6076.5486</v>
      </c>
      <c r="G56" s="4">
        <v>2304.14868164063</v>
      </c>
      <c r="H56" s="4">
        <v>925.659362792969</v>
      </c>
      <c r="I56" s="4">
        <v>413.730010986328</v>
      </c>
      <c r="J56" s="4">
        <v>869.327026367188</v>
      </c>
      <c r="K56" s="2"/>
      <c r="L56">
        <f t="shared" si="4"/>
        <v>3.0392321709959</v>
      </c>
      <c r="M56" s="2">
        <f t="shared" si="5"/>
        <v>10.4176220622929</v>
      </c>
      <c r="N56" s="2">
        <f t="shared" si="6"/>
        <v>9.67225121150866</v>
      </c>
      <c r="O56" s="2">
        <f t="shared" si="7"/>
        <v>6.98994557363891</v>
      </c>
    </row>
    <row r="57" s="1" customFormat="1" spans="1:15">
      <c r="A57" s="2" t="s">
        <v>62</v>
      </c>
      <c r="B57" s="2">
        <v>7744</v>
      </c>
      <c r="C57" s="2">
        <v>2.9526</v>
      </c>
      <c r="D57" s="2">
        <v>3.0606</v>
      </c>
      <c r="E57" s="2">
        <v>2.4234</v>
      </c>
      <c r="F57" s="2">
        <v>3.1854</v>
      </c>
      <c r="G57" s="4">
        <v>0.486999988555908</v>
      </c>
      <c r="H57" s="4">
        <v>0.542666971683502</v>
      </c>
      <c r="I57" s="4">
        <v>1.55966699123383</v>
      </c>
      <c r="J57" s="4">
        <v>0.688666999340057</v>
      </c>
      <c r="K57" s="2"/>
      <c r="L57">
        <f t="shared" si="4"/>
        <v>6.0628338180362</v>
      </c>
      <c r="M57" s="2">
        <f t="shared" si="5"/>
        <v>5.63992311989281</v>
      </c>
      <c r="N57" s="2">
        <f t="shared" si="6"/>
        <v>1.55379322228451</v>
      </c>
      <c r="O57" s="2">
        <f t="shared" si="7"/>
        <v>4.62545759133593</v>
      </c>
    </row>
    <row r="58" s="1" customFormat="1" spans="1:15">
      <c r="A58" s="2" t="s">
        <v>63</v>
      </c>
      <c r="B58" s="2">
        <v>512084</v>
      </c>
      <c r="C58" s="2">
        <v>4819.4026</v>
      </c>
      <c r="D58" s="2">
        <v>10331.6564</v>
      </c>
      <c r="E58" s="2">
        <v>5610.858</v>
      </c>
      <c r="F58" s="2">
        <v>6510.2638</v>
      </c>
      <c r="G58" s="4">
        <v>1.45866703987122</v>
      </c>
      <c r="H58" s="4">
        <v>3391.15698242188</v>
      </c>
      <c r="I58" s="4">
        <v>2118.92236328125</v>
      </c>
      <c r="J58" s="4">
        <v>2051.4326171875</v>
      </c>
      <c r="K58" s="2"/>
      <c r="L58" s="2">
        <v>1000</v>
      </c>
      <c r="M58" s="2">
        <f t="shared" si="5"/>
        <v>3.04664645534085</v>
      </c>
      <c r="N58" s="2">
        <f t="shared" si="6"/>
        <v>2.64797714972026</v>
      </c>
      <c r="O58" s="2">
        <f t="shared" si="7"/>
        <v>3.17352066329409</v>
      </c>
    </row>
    <row r="59" s="1" customFormat="1" spans="1:15">
      <c r="A59" s="2" t="s">
        <v>64</v>
      </c>
      <c r="B59" s="2">
        <v>1021159</v>
      </c>
      <c r="C59" s="2">
        <v>24734.0936</v>
      </c>
      <c r="D59" s="2">
        <v>10322.5436</v>
      </c>
      <c r="E59" s="2">
        <v>45336.917</v>
      </c>
      <c r="F59" s="2">
        <v>7745.8744</v>
      </c>
      <c r="G59" s="4">
        <v>9800.3095703125</v>
      </c>
      <c r="H59" s="4">
        <v>2725.66088867188</v>
      </c>
      <c r="I59" s="4">
        <v>1909.03002929687</v>
      </c>
      <c r="J59" s="4">
        <v>2100.00732421875</v>
      </c>
      <c r="K59" s="2"/>
      <c r="L59">
        <f t="shared" si="4"/>
        <v>2.52380737797564</v>
      </c>
      <c r="M59" s="2">
        <f t="shared" si="5"/>
        <v>3.78717089968951</v>
      </c>
      <c r="N59" s="2">
        <f t="shared" si="6"/>
        <v>23.7486662358572</v>
      </c>
      <c r="O59" s="2">
        <f t="shared" si="7"/>
        <v>3.68849875458489</v>
      </c>
    </row>
    <row r="60" s="1" customFormat="1" spans="1:15">
      <c r="A60" s="2" t="s">
        <v>65</v>
      </c>
      <c r="B60" s="2">
        <v>340431</v>
      </c>
      <c r="C60" s="2">
        <v>4546.8656</v>
      </c>
      <c r="D60" s="2">
        <v>688.729</v>
      </c>
      <c r="E60" s="2">
        <v>491.5486</v>
      </c>
      <c r="F60" s="2">
        <v>632.497</v>
      </c>
      <c r="G60" s="4">
        <v>1449.99438476562</v>
      </c>
      <c r="H60" s="4">
        <v>179.210327148437</v>
      </c>
      <c r="I60" s="4">
        <v>170.636001586914</v>
      </c>
      <c r="J60" s="4">
        <v>155.536666870117</v>
      </c>
      <c r="K60" s="2"/>
      <c r="L60">
        <f t="shared" si="4"/>
        <v>3.13578152286084</v>
      </c>
      <c r="M60" s="2">
        <f t="shared" si="5"/>
        <v>3.84313231809201</v>
      </c>
      <c r="N60" s="2">
        <f t="shared" si="6"/>
        <v>2.88068517445674</v>
      </c>
      <c r="O60" s="2">
        <f t="shared" si="7"/>
        <v>4.06654593240175</v>
      </c>
    </row>
    <row r="61" s="1" customFormat="1" spans="1:15">
      <c r="A61" s="2" t="s">
        <v>66</v>
      </c>
      <c r="B61" s="2">
        <v>199200</v>
      </c>
      <c r="C61" s="2">
        <v>185.3134</v>
      </c>
      <c r="D61" s="2">
        <v>197.7748</v>
      </c>
      <c r="E61" s="2">
        <v>64.479</v>
      </c>
      <c r="F61" s="2">
        <v>117.0172</v>
      </c>
      <c r="G61" s="4">
        <v>59.0566673278809</v>
      </c>
      <c r="H61" s="4">
        <v>77.6060028076172</v>
      </c>
      <c r="I61" s="4">
        <v>39.9346656799316</v>
      </c>
      <c r="J61" s="4">
        <v>56.3979988098145</v>
      </c>
      <c r="K61" s="2"/>
      <c r="L61">
        <f t="shared" si="4"/>
        <v>3.13789125571793</v>
      </c>
      <c r="M61" s="2">
        <f t="shared" si="5"/>
        <v>2.54844719280643</v>
      </c>
      <c r="N61" s="2">
        <f t="shared" si="6"/>
        <v>1.61461223982157</v>
      </c>
      <c r="O61" s="2">
        <f t="shared" si="7"/>
        <v>2.07484666955304</v>
      </c>
    </row>
    <row r="62" s="1" customFormat="1" spans="1:15">
      <c r="A62" s="2" t="s">
        <v>67</v>
      </c>
      <c r="B62" s="2">
        <v>12068</v>
      </c>
      <c r="C62" s="2">
        <v>9.0094</v>
      </c>
      <c r="D62" s="2">
        <v>1.0716</v>
      </c>
      <c r="E62" s="2">
        <v>0.7724</v>
      </c>
      <c r="F62" s="2">
        <v>1.6244</v>
      </c>
      <c r="G62" s="4">
        <v>1.02666699886322</v>
      </c>
      <c r="H62" s="4">
        <v>0.13400000333786</v>
      </c>
      <c r="I62" s="4">
        <v>0.130999997258186</v>
      </c>
      <c r="J62" s="4">
        <v>0.2586669921875</v>
      </c>
      <c r="K62" s="2"/>
      <c r="L62">
        <f t="shared" si="4"/>
        <v>8.77538677095464</v>
      </c>
      <c r="M62" s="2">
        <f t="shared" si="5"/>
        <v>7.99701472617227</v>
      </c>
      <c r="N62" s="2">
        <f t="shared" si="6"/>
        <v>5.89618332951327</v>
      </c>
      <c r="O62" s="2">
        <f t="shared" si="7"/>
        <v>6.27988900424729</v>
      </c>
    </row>
    <row r="63" s="1" customFormat="1" spans="1:15">
      <c r="A63" s="2" t="s">
        <v>68</v>
      </c>
      <c r="B63" s="2">
        <v>340200</v>
      </c>
      <c r="C63" s="2">
        <v>520.9802</v>
      </c>
      <c r="D63" s="2">
        <v>448.094</v>
      </c>
      <c r="E63" s="2">
        <v>183.6636</v>
      </c>
      <c r="F63" s="2">
        <v>231.5216</v>
      </c>
      <c r="G63" s="4">
        <v>167.384002685547</v>
      </c>
      <c r="H63" s="4">
        <v>156.29133605957</v>
      </c>
      <c r="I63" s="4">
        <v>86.3833312988281</v>
      </c>
      <c r="J63" s="4">
        <v>118.485664367676</v>
      </c>
      <c r="K63" s="2"/>
      <c r="L63">
        <f t="shared" si="4"/>
        <v>3.11248501434591</v>
      </c>
      <c r="M63" s="2">
        <f t="shared" si="5"/>
        <v>2.86704312150233</v>
      </c>
      <c r="N63" s="2">
        <f t="shared" si="6"/>
        <v>2.12614629742222</v>
      </c>
      <c r="O63" s="2">
        <f t="shared" si="7"/>
        <v>1.95400516370959</v>
      </c>
    </row>
    <row r="64" s="1" customFormat="1" spans="1:15">
      <c r="A64" s="2" t="s">
        <v>69</v>
      </c>
      <c r="B64" s="2">
        <v>99982</v>
      </c>
      <c r="C64" s="2" t="s">
        <v>7</v>
      </c>
      <c r="D64" s="2">
        <v>2922.3546</v>
      </c>
      <c r="E64" s="2">
        <v>26.1486</v>
      </c>
      <c r="F64" s="2">
        <v>4685.8948</v>
      </c>
      <c r="G64" s="4">
        <v>1491.57067871094</v>
      </c>
      <c r="H64" s="4">
        <v>1346.00927734375</v>
      </c>
      <c r="I64" s="4">
        <v>2475.50073242188</v>
      </c>
      <c r="J64" s="4">
        <v>1915.21362304687</v>
      </c>
      <c r="K64" s="2"/>
      <c r="L64" s="2">
        <v>1000</v>
      </c>
      <c r="M64" s="2">
        <f t="shared" si="5"/>
        <v>2.1711251543281</v>
      </c>
      <c r="N64" s="2">
        <f t="shared" si="6"/>
        <v>0.0105629538531454</v>
      </c>
      <c r="O64" s="2">
        <f t="shared" si="7"/>
        <v>2.44666952219425</v>
      </c>
    </row>
    <row r="65" s="1" customFormat="1" spans="1:15">
      <c r="A65" s="2" t="s">
        <v>70</v>
      </c>
      <c r="B65" s="2">
        <v>79966</v>
      </c>
      <c r="C65" s="2" t="s">
        <v>7</v>
      </c>
      <c r="D65" s="2">
        <v>2144.3084</v>
      </c>
      <c r="E65" s="2">
        <v>358.2342</v>
      </c>
      <c r="F65" s="2">
        <v>3968.6702</v>
      </c>
      <c r="G65" s="4">
        <v>2247.26196289063</v>
      </c>
      <c r="H65" s="4">
        <v>1758.99267578125</v>
      </c>
      <c r="I65" s="4">
        <v>1877.71130371094</v>
      </c>
      <c r="J65" s="4">
        <v>1351.11303710937</v>
      </c>
      <c r="K65" s="2"/>
      <c r="L65" s="2">
        <v>1000</v>
      </c>
      <c r="M65" s="2">
        <f t="shared" si="5"/>
        <v>1.21905476328809</v>
      </c>
      <c r="N65" s="2">
        <f t="shared" si="6"/>
        <v>0.190782363237638</v>
      </c>
      <c r="O65" s="2">
        <f t="shared" si="7"/>
        <v>2.93733395430093</v>
      </c>
    </row>
    <row r="66" s="1" customFormat="1" spans="1:15">
      <c r="A66" s="2" t="s">
        <v>71</v>
      </c>
      <c r="B66" s="2">
        <v>18316</v>
      </c>
      <c r="C66" s="2">
        <v>97.4486</v>
      </c>
      <c r="D66" s="2">
        <v>6.4338</v>
      </c>
      <c r="E66" s="2">
        <v>1.3298</v>
      </c>
      <c r="F66" s="2">
        <v>5.0202</v>
      </c>
      <c r="G66" s="4">
        <v>12.871000289917</v>
      </c>
      <c r="H66" s="4">
        <v>1.03633296489716</v>
      </c>
      <c r="I66" s="4">
        <v>0.814666986465454</v>
      </c>
      <c r="J66" s="4">
        <v>0.870333015918732</v>
      </c>
      <c r="K66" s="2"/>
      <c r="L66">
        <f t="shared" si="4"/>
        <v>7.57117534029893</v>
      </c>
      <c r="M66" s="2">
        <f t="shared" si="5"/>
        <v>6.20823636603942</v>
      </c>
      <c r="N66" s="2">
        <f t="shared" si="6"/>
        <v>1.63232341814847</v>
      </c>
      <c r="O66" s="2">
        <f t="shared" si="7"/>
        <v>5.76813691791369</v>
      </c>
    </row>
    <row r="67" s="1" customFormat="1" spans="1:15">
      <c r="A67" s="2" t="s">
        <v>72</v>
      </c>
      <c r="B67" s="2">
        <v>27520</v>
      </c>
      <c r="C67" s="2">
        <v>172.5048</v>
      </c>
      <c r="D67" s="2">
        <v>9.0962</v>
      </c>
      <c r="E67" s="2">
        <v>1.3972</v>
      </c>
      <c r="F67" s="2">
        <v>7.5364</v>
      </c>
      <c r="G67" s="4">
        <v>22.3626670837402</v>
      </c>
      <c r="H67" s="4">
        <v>1.59466695785523</v>
      </c>
      <c r="I67" s="4">
        <v>0.504666984081268</v>
      </c>
      <c r="J67" s="4">
        <v>1.35300004482269</v>
      </c>
      <c r="K67" s="2"/>
      <c r="L67">
        <f t="shared" ref="L67:L98" si="8">C67/G67</f>
        <v>7.71396360523685</v>
      </c>
      <c r="M67" s="2">
        <f t="shared" ref="M67:M98" si="9">D67/H67</f>
        <v>5.70413775440238</v>
      </c>
      <c r="N67" s="2">
        <f t="shared" ref="N67:N98" si="10">E67/I67</f>
        <v>2.76855836437084</v>
      </c>
      <c r="O67" s="2">
        <f t="shared" ref="O67:O98" si="11">F67/J67</f>
        <v>5.57014024414732</v>
      </c>
    </row>
    <row r="68" s="1" customFormat="1" spans="1:15">
      <c r="A68" s="2" t="s">
        <v>73</v>
      </c>
      <c r="B68" s="2">
        <v>203622</v>
      </c>
      <c r="C68" s="2">
        <v>114.686</v>
      </c>
      <c r="D68" s="2">
        <v>135.6912</v>
      </c>
      <c r="E68" s="2">
        <v>67.8676</v>
      </c>
      <c r="F68" s="2">
        <v>89.911</v>
      </c>
      <c r="G68" s="4">
        <v>34.0616683959961</v>
      </c>
      <c r="H68" s="4">
        <v>55.1436653137207</v>
      </c>
      <c r="I68" s="4">
        <v>39.0373344421387</v>
      </c>
      <c r="J68" s="4">
        <v>39.775333404541</v>
      </c>
      <c r="K68" s="2"/>
      <c r="L68">
        <f t="shared" si="8"/>
        <v>3.36701064277524</v>
      </c>
      <c r="M68" s="2">
        <f t="shared" si="9"/>
        <v>2.46068517984853</v>
      </c>
      <c r="N68" s="2">
        <f t="shared" si="10"/>
        <v>1.73853058795789</v>
      </c>
      <c r="O68" s="2">
        <f t="shared" si="11"/>
        <v>2.26047130983282</v>
      </c>
    </row>
    <row r="69" s="1" customFormat="1" spans="1:15">
      <c r="A69" s="2" t="s">
        <v>74</v>
      </c>
      <c r="B69" s="2">
        <v>34518</v>
      </c>
      <c r="C69" s="2">
        <v>140.6886</v>
      </c>
      <c r="D69" s="2">
        <v>18.2024</v>
      </c>
      <c r="E69" s="2">
        <v>13.8688</v>
      </c>
      <c r="F69" s="2">
        <v>18.9234</v>
      </c>
      <c r="G69" s="4">
        <v>19.7609996795654</v>
      </c>
      <c r="H69" s="4">
        <v>3.64833307266235</v>
      </c>
      <c r="I69" s="4">
        <v>4.94633293151855</v>
      </c>
      <c r="J69" s="4">
        <v>4.42433309555054</v>
      </c>
      <c r="K69" s="2"/>
      <c r="L69">
        <f t="shared" si="8"/>
        <v>7.11950823750502</v>
      </c>
      <c r="M69" s="2">
        <f t="shared" si="9"/>
        <v>4.98923745104142</v>
      </c>
      <c r="N69" s="2">
        <f t="shared" si="10"/>
        <v>2.80385493496132</v>
      </c>
      <c r="O69" s="2">
        <f t="shared" si="11"/>
        <v>4.27711919317984</v>
      </c>
    </row>
    <row r="70" s="1" customFormat="1" spans="1:15">
      <c r="A70" s="2" t="s">
        <v>75</v>
      </c>
      <c r="B70" s="2">
        <v>29156</v>
      </c>
      <c r="C70" s="2">
        <v>280.503</v>
      </c>
      <c r="D70" s="2">
        <v>99.2228</v>
      </c>
      <c r="E70" s="2">
        <v>241.35</v>
      </c>
      <c r="F70" s="2">
        <v>83.5662</v>
      </c>
      <c r="G70" s="4">
        <v>36.140998840332</v>
      </c>
      <c r="H70" s="4">
        <v>20.279333114624</v>
      </c>
      <c r="I70" s="4">
        <v>23.1830005645752</v>
      </c>
      <c r="J70" s="4">
        <v>16.1473331451416</v>
      </c>
      <c r="K70" s="2"/>
      <c r="L70">
        <f t="shared" si="8"/>
        <v>7.76135162282701</v>
      </c>
      <c r="M70" s="2">
        <f t="shared" si="9"/>
        <v>4.89280389247355</v>
      </c>
      <c r="N70" s="2">
        <f t="shared" si="10"/>
        <v>10.410645478256</v>
      </c>
      <c r="O70" s="2">
        <f t="shared" si="11"/>
        <v>5.17523229680459</v>
      </c>
    </row>
    <row r="71" s="1" customFormat="1" spans="1:15">
      <c r="A71" s="2" t="s">
        <v>76</v>
      </c>
      <c r="B71" s="2">
        <v>46270</v>
      </c>
      <c r="C71" s="2">
        <v>114.3046</v>
      </c>
      <c r="D71" s="2">
        <v>68.3896</v>
      </c>
      <c r="E71" s="2">
        <v>114.9932</v>
      </c>
      <c r="F71" s="2">
        <v>68.2778</v>
      </c>
      <c r="G71" s="4">
        <v>21.4589996337891</v>
      </c>
      <c r="H71" s="4">
        <v>15.7670001983643</v>
      </c>
      <c r="I71" s="4">
        <v>17.8253326416016</v>
      </c>
      <c r="J71" s="4">
        <v>18.1883335113525</v>
      </c>
      <c r="K71" s="2"/>
      <c r="L71">
        <f t="shared" si="8"/>
        <v>5.32665091340126</v>
      </c>
      <c r="M71" s="2">
        <f t="shared" si="9"/>
        <v>4.3375150085363</v>
      </c>
      <c r="N71" s="2">
        <f t="shared" si="10"/>
        <v>6.45111102900955</v>
      </c>
      <c r="O71" s="2">
        <f t="shared" si="11"/>
        <v>3.75393380363206</v>
      </c>
    </row>
    <row r="72" s="1" customFormat="1" spans="1:15">
      <c r="A72" s="2" t="s">
        <v>77</v>
      </c>
      <c r="B72" s="2">
        <v>97707</v>
      </c>
      <c r="C72" s="2">
        <v>1882.6568</v>
      </c>
      <c r="D72" s="2">
        <v>1227.422</v>
      </c>
      <c r="E72" s="2">
        <v>1676.2482</v>
      </c>
      <c r="F72" s="2">
        <v>680.6616</v>
      </c>
      <c r="G72" s="4">
        <v>439.070007324219</v>
      </c>
      <c r="H72" s="4">
        <v>407.463317871094</v>
      </c>
      <c r="I72" s="4">
        <v>486.242340087891</v>
      </c>
      <c r="J72" s="4">
        <v>260.132659912109</v>
      </c>
      <c r="K72" s="2"/>
      <c r="L72">
        <f t="shared" si="8"/>
        <v>4.28782829297152</v>
      </c>
      <c r="M72" s="2">
        <f t="shared" si="9"/>
        <v>3.01234969177841</v>
      </c>
      <c r="N72" s="2">
        <f t="shared" si="10"/>
        <v>3.4473513756474</v>
      </c>
      <c r="O72" s="2">
        <f t="shared" si="11"/>
        <v>2.61659416480028</v>
      </c>
    </row>
    <row r="73" s="1" customFormat="1" spans="1:15">
      <c r="A73" s="2" t="s">
        <v>78</v>
      </c>
      <c r="B73" s="2">
        <v>1154814</v>
      </c>
      <c r="C73" s="2">
        <v>21576.9578</v>
      </c>
      <c r="D73" s="2">
        <v>11114.6896</v>
      </c>
      <c r="E73" s="2">
        <v>36144.4636</v>
      </c>
      <c r="F73" s="2">
        <v>13983.5014</v>
      </c>
      <c r="G73" s="4">
        <v>7778.3984375</v>
      </c>
      <c r="H73" s="4">
        <v>3526.38598632813</v>
      </c>
      <c r="I73" s="4">
        <v>3335.48193359375</v>
      </c>
      <c r="J73" s="4">
        <v>2185.91625976563</v>
      </c>
      <c r="K73" s="2"/>
      <c r="L73">
        <f t="shared" si="8"/>
        <v>2.77395892912563</v>
      </c>
      <c r="M73" s="2">
        <f t="shared" si="9"/>
        <v>3.15186415868594</v>
      </c>
      <c r="N73" s="2">
        <f t="shared" si="10"/>
        <v>10.8363541819748</v>
      </c>
      <c r="O73" s="2">
        <f t="shared" si="11"/>
        <v>6.39708924691346</v>
      </c>
    </row>
    <row r="74" s="1" customFormat="1" spans="1:15">
      <c r="A74" s="2" t="s">
        <v>79</v>
      </c>
      <c r="B74" s="2">
        <v>170134</v>
      </c>
      <c r="C74" s="2">
        <v>37.512</v>
      </c>
      <c r="D74" s="2">
        <v>12.977</v>
      </c>
      <c r="E74" s="2">
        <v>8.4722</v>
      </c>
      <c r="F74" s="2">
        <v>17.339</v>
      </c>
      <c r="G74" s="4">
        <v>12.9766674041748</v>
      </c>
      <c r="H74" s="4">
        <v>4.88933277130127</v>
      </c>
      <c r="I74" s="4">
        <v>5.1399998664856</v>
      </c>
      <c r="J74" s="4">
        <v>4.28499984741211</v>
      </c>
      <c r="K74" s="2"/>
      <c r="L74">
        <f t="shared" si="8"/>
        <v>2.89072678151031</v>
      </c>
      <c r="M74" s="2">
        <f t="shared" si="9"/>
        <v>2.65414538281595</v>
      </c>
      <c r="N74" s="2">
        <f t="shared" si="10"/>
        <v>1.6482879805584</v>
      </c>
      <c r="O74" s="2">
        <f t="shared" si="11"/>
        <v>4.04644121760512</v>
      </c>
    </row>
    <row r="75" s="1" customFormat="1" spans="1:15">
      <c r="A75" s="2" t="s">
        <v>80</v>
      </c>
      <c r="B75" s="2">
        <v>39208</v>
      </c>
      <c r="C75" s="2">
        <v>672.1268</v>
      </c>
      <c r="D75" s="2">
        <v>186.0986</v>
      </c>
      <c r="E75" s="2">
        <v>769.2492</v>
      </c>
      <c r="F75" s="2">
        <v>165.3752</v>
      </c>
      <c r="G75" s="4">
        <v>153.760665893555</v>
      </c>
      <c r="H75" s="4">
        <v>58.5950012207031</v>
      </c>
      <c r="I75" s="4">
        <v>55.615665435791</v>
      </c>
      <c r="J75" s="4">
        <v>52.6016654968262</v>
      </c>
      <c r="K75" s="2"/>
      <c r="L75">
        <f t="shared" si="8"/>
        <v>4.37125318165114</v>
      </c>
      <c r="M75" s="2">
        <f t="shared" si="9"/>
        <v>3.17601495218071</v>
      </c>
      <c r="N75" s="2">
        <f t="shared" si="10"/>
        <v>13.8315202015897</v>
      </c>
      <c r="O75" s="2">
        <f t="shared" si="11"/>
        <v>3.14391566194759</v>
      </c>
    </row>
    <row r="76" s="1" customFormat="1" spans="1:15">
      <c r="A76" s="2" t="s">
        <v>81</v>
      </c>
      <c r="B76" s="2">
        <v>72250</v>
      </c>
      <c r="C76" s="2">
        <v>48.907</v>
      </c>
      <c r="D76" s="2">
        <v>42.0316</v>
      </c>
      <c r="E76" s="2">
        <v>7.9568</v>
      </c>
      <c r="F76" s="2">
        <v>19.659</v>
      </c>
      <c r="G76" s="4">
        <v>17.3840007781982</v>
      </c>
      <c r="H76" s="4">
        <v>14.8013334274292</v>
      </c>
      <c r="I76" s="4">
        <v>4.05933284759521</v>
      </c>
      <c r="J76" s="4">
        <v>11.3009996414185</v>
      </c>
      <c r="K76" s="2"/>
      <c r="L76">
        <f t="shared" si="8"/>
        <v>2.81333397438268</v>
      </c>
      <c r="M76" s="2">
        <f t="shared" si="9"/>
        <v>2.83971712454696</v>
      </c>
      <c r="N76" s="2">
        <f t="shared" si="10"/>
        <v>1.96012504978834</v>
      </c>
      <c r="O76" s="2">
        <f t="shared" si="11"/>
        <v>1.73958062328833</v>
      </c>
    </row>
    <row r="77" s="1" customFormat="1" spans="1:15">
      <c r="A77" s="2" t="s">
        <v>82</v>
      </c>
      <c r="B77" s="2">
        <v>174296</v>
      </c>
      <c r="C77" s="2">
        <v>4465.6526</v>
      </c>
      <c r="D77" s="2">
        <v>830.4102</v>
      </c>
      <c r="E77" s="2">
        <v>5331.0478</v>
      </c>
      <c r="F77" s="2">
        <v>636.0014</v>
      </c>
      <c r="G77" s="4">
        <v>915.441345214844</v>
      </c>
      <c r="H77" s="4">
        <v>266.273986816406</v>
      </c>
      <c r="I77" s="4">
        <v>176.6943359375</v>
      </c>
      <c r="J77" s="4">
        <v>212.979995727539</v>
      </c>
      <c r="K77" s="2"/>
      <c r="L77">
        <f t="shared" si="8"/>
        <v>4.87814170000369</v>
      </c>
      <c r="M77" s="2">
        <f t="shared" si="9"/>
        <v>3.11863058772077</v>
      </c>
      <c r="N77" s="2">
        <f t="shared" si="10"/>
        <v>30.1710169243098</v>
      </c>
      <c r="O77" s="2">
        <f t="shared" si="11"/>
        <v>2.98620252022929</v>
      </c>
    </row>
    <row r="78" s="1" customFormat="1" spans="1:15">
      <c r="A78" s="2" t="s">
        <v>83</v>
      </c>
      <c r="B78" s="2">
        <v>104756</v>
      </c>
      <c r="C78" s="2">
        <v>5896.8668</v>
      </c>
      <c r="D78" s="2">
        <v>2007.278</v>
      </c>
      <c r="E78" s="2">
        <v>7985.0918</v>
      </c>
      <c r="F78" s="2">
        <v>1483.0632</v>
      </c>
      <c r="G78" s="4">
        <v>1652.00561523437</v>
      </c>
      <c r="H78" s="4">
        <v>729.933349609375</v>
      </c>
      <c r="I78" s="4">
        <v>426.533325195313</v>
      </c>
      <c r="J78" s="4">
        <v>593.740356445313</v>
      </c>
      <c r="K78" s="2"/>
      <c r="L78">
        <f t="shared" si="8"/>
        <v>3.56951982827456</v>
      </c>
      <c r="M78" s="2">
        <f t="shared" si="9"/>
        <v>2.74994696580749</v>
      </c>
      <c r="N78" s="2">
        <f t="shared" si="10"/>
        <v>18.7209095475566</v>
      </c>
      <c r="O78" s="2">
        <f t="shared" si="11"/>
        <v>2.49783122184756</v>
      </c>
    </row>
    <row r="79" s="1" customFormat="1" spans="1:15">
      <c r="A79" s="2" t="s">
        <v>84</v>
      </c>
      <c r="B79" s="2">
        <v>15844</v>
      </c>
      <c r="C79" s="2">
        <v>25.1582</v>
      </c>
      <c r="D79" s="2">
        <v>21.6554</v>
      </c>
      <c r="E79" s="2">
        <v>9.2442</v>
      </c>
      <c r="F79" s="2">
        <v>11.625</v>
      </c>
      <c r="G79" s="4">
        <v>4.21999979019165</v>
      </c>
      <c r="H79" s="4">
        <v>4.73799991607666</v>
      </c>
      <c r="I79" s="4">
        <v>3.78033304214477</v>
      </c>
      <c r="J79" s="4">
        <v>3.07233309745789</v>
      </c>
      <c r="K79" s="2"/>
      <c r="L79">
        <f t="shared" si="8"/>
        <v>5.961659064172</v>
      </c>
      <c r="M79" s="2">
        <f t="shared" si="9"/>
        <v>4.5705783840393</v>
      </c>
      <c r="N79" s="2">
        <f t="shared" si="10"/>
        <v>2.44534010547264</v>
      </c>
      <c r="O79" s="2">
        <f t="shared" si="11"/>
        <v>3.78376941276932</v>
      </c>
    </row>
    <row r="80" s="1" customFormat="1" spans="1:15">
      <c r="A80" s="2" t="s">
        <v>85</v>
      </c>
      <c r="B80" s="2">
        <v>5172</v>
      </c>
      <c r="C80" s="2">
        <v>14.7568</v>
      </c>
      <c r="D80" s="2">
        <v>8.4076</v>
      </c>
      <c r="E80" s="2">
        <v>3.474</v>
      </c>
      <c r="F80" s="2">
        <v>7.7538</v>
      </c>
      <c r="G80" s="4">
        <v>2.8993330001831</v>
      </c>
      <c r="H80" s="4">
        <v>1.64566695690155</v>
      </c>
      <c r="I80" s="4">
        <v>0.819999992847443</v>
      </c>
      <c r="J80" s="4">
        <v>1.26833295822144</v>
      </c>
      <c r="K80" s="2"/>
      <c r="L80">
        <f t="shared" si="8"/>
        <v>5.08972235995937</v>
      </c>
      <c r="M80" s="2">
        <f t="shared" si="9"/>
        <v>5.10893164910461</v>
      </c>
      <c r="N80" s="2">
        <f t="shared" si="10"/>
        <v>4.23658540280783</v>
      </c>
      <c r="O80" s="2">
        <f t="shared" si="11"/>
        <v>6.11337894339118</v>
      </c>
    </row>
    <row r="81" s="1" customFormat="1" spans="1:15">
      <c r="A81" s="2" t="s">
        <v>86</v>
      </c>
      <c r="B81" s="2">
        <v>197608</v>
      </c>
      <c r="C81" s="2">
        <v>5.1616</v>
      </c>
      <c r="D81" s="2">
        <v>92.9648</v>
      </c>
      <c r="E81" s="2">
        <v>48.7218</v>
      </c>
      <c r="F81" s="2">
        <v>58.4436</v>
      </c>
      <c r="G81" s="4">
        <v>0.966332972049713</v>
      </c>
      <c r="H81" s="4">
        <v>36.1809997558594</v>
      </c>
      <c r="I81" s="4">
        <v>28.5793323516846</v>
      </c>
      <c r="J81" s="4">
        <v>26.5076675415039</v>
      </c>
      <c r="K81" s="2"/>
      <c r="L81">
        <f t="shared" si="8"/>
        <v>5.34143007565146</v>
      </c>
      <c r="M81" s="2">
        <f t="shared" si="9"/>
        <v>2.56943701465697</v>
      </c>
      <c r="N81" s="2">
        <f t="shared" si="10"/>
        <v>1.70479139961883</v>
      </c>
      <c r="O81" s="2">
        <f t="shared" si="11"/>
        <v>2.20478093398799</v>
      </c>
    </row>
    <row r="82" s="1" customFormat="1" spans="1:15">
      <c r="A82" s="2" t="s">
        <v>87</v>
      </c>
      <c r="B82" s="2">
        <v>1015156</v>
      </c>
      <c r="C82" s="2">
        <v>92653.7758</v>
      </c>
      <c r="D82" s="2">
        <v>42436.8528</v>
      </c>
      <c r="E82" s="2">
        <v>210556.8708</v>
      </c>
      <c r="F82" s="2">
        <v>33092.206</v>
      </c>
      <c r="G82" s="4">
        <v>8353.1943359375</v>
      </c>
      <c r="H82" s="4">
        <v>1614.74536132812</v>
      </c>
      <c r="I82" s="4">
        <v>946.517028808594</v>
      </c>
      <c r="J82" s="4">
        <v>1535.91430664062</v>
      </c>
      <c r="K82" s="2"/>
      <c r="L82">
        <f t="shared" si="8"/>
        <v>11.0920172659435</v>
      </c>
      <c r="M82" s="2">
        <f t="shared" si="9"/>
        <v>26.2808327655426</v>
      </c>
      <c r="N82" s="2">
        <f t="shared" si="10"/>
        <v>222.45439267483</v>
      </c>
      <c r="O82" s="2">
        <f t="shared" si="11"/>
        <v>21.545606976199</v>
      </c>
    </row>
    <row r="83" s="1" customFormat="1" spans="1:15">
      <c r="A83" s="2" t="s">
        <v>88</v>
      </c>
      <c r="B83" s="2">
        <v>32399</v>
      </c>
      <c r="C83" s="2">
        <v>265.6168</v>
      </c>
      <c r="D83" s="2">
        <v>368.1032</v>
      </c>
      <c r="E83" s="2">
        <v>304.0904</v>
      </c>
      <c r="F83" s="2">
        <v>167.2728</v>
      </c>
      <c r="G83" s="4">
        <v>37.593334197998</v>
      </c>
      <c r="H83" s="4">
        <v>65.7590026855469</v>
      </c>
      <c r="I83" s="4">
        <v>84.6693344116211</v>
      </c>
      <c r="J83" s="4">
        <v>37.039665222168</v>
      </c>
      <c r="K83" s="2"/>
      <c r="L83">
        <f t="shared" si="8"/>
        <v>7.06552918666483</v>
      </c>
      <c r="M83" s="2">
        <f t="shared" si="9"/>
        <v>5.59776129452926</v>
      </c>
      <c r="N83" s="2">
        <f t="shared" si="10"/>
        <v>3.5915057336067</v>
      </c>
      <c r="O83" s="2">
        <f t="shared" si="11"/>
        <v>4.51604513692765</v>
      </c>
    </row>
    <row r="84" s="1" customFormat="1" spans="1:15">
      <c r="A84" s="2" t="s">
        <v>89</v>
      </c>
      <c r="B84" s="2">
        <v>5786</v>
      </c>
      <c r="C84" s="2">
        <v>16.0792</v>
      </c>
      <c r="D84" s="2">
        <v>32.4992</v>
      </c>
      <c r="E84" s="2">
        <v>22.1038</v>
      </c>
      <c r="F84" s="2">
        <v>16.1314</v>
      </c>
      <c r="G84" s="4">
        <v>1.63333296775818</v>
      </c>
      <c r="H84" s="4">
        <v>3.63299989700317</v>
      </c>
      <c r="I84" s="4">
        <v>3.98233294486999</v>
      </c>
      <c r="J84" s="4">
        <v>2.40666699409485</v>
      </c>
      <c r="K84" s="2"/>
      <c r="L84">
        <f t="shared" si="8"/>
        <v>9.84441036665622</v>
      </c>
      <c r="M84" s="2">
        <f t="shared" si="9"/>
        <v>8.94555489164982</v>
      </c>
      <c r="N84" s="2">
        <f t="shared" si="10"/>
        <v>5.55046509319969</v>
      </c>
      <c r="O84" s="2">
        <f t="shared" si="11"/>
        <v>6.70279687201471</v>
      </c>
    </row>
    <row r="85" s="1" customFormat="1" spans="1:15">
      <c r="A85" s="2" t="s">
        <v>90</v>
      </c>
      <c r="B85" s="2">
        <v>30644</v>
      </c>
      <c r="C85" s="2">
        <v>205.1858</v>
      </c>
      <c r="D85" s="2">
        <v>25.763</v>
      </c>
      <c r="E85" s="2">
        <v>170.6718</v>
      </c>
      <c r="F85" s="2">
        <v>22.281</v>
      </c>
      <c r="G85" s="4">
        <v>49.5936660766602</v>
      </c>
      <c r="H85" s="4">
        <v>7.83033323287964</v>
      </c>
      <c r="I85" s="4">
        <v>8.875</v>
      </c>
      <c r="J85" s="4">
        <v>6.743332862854</v>
      </c>
      <c r="K85" s="2"/>
      <c r="L85">
        <f t="shared" si="8"/>
        <v>4.13733882231716</v>
      </c>
      <c r="M85" s="2">
        <f t="shared" si="9"/>
        <v>3.29015371808455</v>
      </c>
      <c r="N85" s="2">
        <f t="shared" si="10"/>
        <v>19.2306253521127</v>
      </c>
      <c r="O85" s="2">
        <f t="shared" si="11"/>
        <v>3.30415247966418</v>
      </c>
    </row>
    <row r="86" s="1" customFormat="1" spans="1:15">
      <c r="A86" s="2" t="s">
        <v>91</v>
      </c>
      <c r="B86" s="2">
        <v>715804</v>
      </c>
      <c r="C86" s="2">
        <v>9322.6466</v>
      </c>
      <c r="D86" s="2">
        <v>2816.8318</v>
      </c>
      <c r="E86" s="2">
        <v>1634.8644</v>
      </c>
      <c r="F86" s="2">
        <v>1611.1032</v>
      </c>
      <c r="G86" s="4">
        <v>1938.15600585937</v>
      </c>
      <c r="H86" s="4">
        <v>787.887329101563</v>
      </c>
      <c r="I86" s="4">
        <v>769.898681640625</v>
      </c>
      <c r="J86" s="4">
        <v>548.843017578125</v>
      </c>
      <c r="K86" s="2"/>
      <c r="L86">
        <f t="shared" si="8"/>
        <v>4.81005995999088</v>
      </c>
      <c r="M86" s="2">
        <f t="shared" si="9"/>
        <v>3.57517083465737</v>
      </c>
      <c r="N86" s="2">
        <f t="shared" si="10"/>
        <v>2.12347993182189</v>
      </c>
      <c r="O86" s="2">
        <f t="shared" si="11"/>
        <v>2.93545357852834</v>
      </c>
    </row>
    <row r="87" s="1" customFormat="1" spans="1:15">
      <c r="A87" s="2" t="s">
        <v>92</v>
      </c>
      <c r="B87" s="2">
        <v>281111</v>
      </c>
      <c r="C87" s="2">
        <v>2753.4496</v>
      </c>
      <c r="D87" s="2">
        <v>671.0048</v>
      </c>
      <c r="E87" s="2">
        <v>237.9152</v>
      </c>
      <c r="F87" s="2">
        <v>335.529</v>
      </c>
      <c r="G87" s="4">
        <v>937.723327636719</v>
      </c>
      <c r="H87" s="4">
        <v>221.853668212891</v>
      </c>
      <c r="I87" s="4">
        <v>120.25366973877</v>
      </c>
      <c r="J87" s="4">
        <v>153.832000732422</v>
      </c>
      <c r="K87" s="2"/>
      <c r="L87">
        <f t="shared" si="8"/>
        <v>2.93631342939856</v>
      </c>
      <c r="M87" s="2">
        <f t="shared" si="9"/>
        <v>3.02453777485483</v>
      </c>
      <c r="N87" s="2">
        <f t="shared" si="10"/>
        <v>1.9784444043731</v>
      </c>
      <c r="O87" s="2">
        <f t="shared" si="11"/>
        <v>2.18113915441836</v>
      </c>
    </row>
    <row r="88" s="1" customFormat="1" spans="1:15">
      <c r="A88" s="2" t="s">
        <v>93</v>
      </c>
      <c r="B88" s="2">
        <v>207695</v>
      </c>
      <c r="C88" s="2">
        <v>2896.1576</v>
      </c>
      <c r="D88" s="2">
        <v>4209.6998</v>
      </c>
      <c r="E88" s="2">
        <v>1052.8954</v>
      </c>
      <c r="F88" s="2">
        <v>1091.2388</v>
      </c>
      <c r="G88" s="4">
        <v>795.227355957031</v>
      </c>
      <c r="H88" s="4">
        <v>1261.31970214844</v>
      </c>
      <c r="I88" s="4">
        <v>336.316680908203</v>
      </c>
      <c r="J88" s="4">
        <v>857.634643554688</v>
      </c>
      <c r="K88" s="2"/>
      <c r="L88">
        <f t="shared" si="8"/>
        <v>3.64192400865607</v>
      </c>
      <c r="M88" s="2">
        <f t="shared" si="9"/>
        <v>3.33753591007062</v>
      </c>
      <c r="N88" s="2">
        <f t="shared" si="10"/>
        <v>3.13066660017195</v>
      </c>
      <c r="O88" s="2">
        <f t="shared" si="11"/>
        <v>1.27238190318092</v>
      </c>
    </row>
    <row r="89" s="1" customFormat="1" spans="1:15">
      <c r="A89" s="2" t="s">
        <v>94</v>
      </c>
      <c r="B89" s="2">
        <v>327680</v>
      </c>
      <c r="C89" s="2">
        <v>41.2</v>
      </c>
      <c r="D89" s="2">
        <v>46.1532</v>
      </c>
      <c r="E89" s="2">
        <v>35.2596</v>
      </c>
      <c r="F89" s="2">
        <v>49.2448</v>
      </c>
      <c r="G89" s="4">
        <v>16.4370002746582</v>
      </c>
      <c r="H89" s="4">
        <v>20.8756675720215</v>
      </c>
      <c r="I89" s="4">
        <v>23.6900005340576</v>
      </c>
      <c r="J89" s="4">
        <v>18.2373332977295</v>
      </c>
      <c r="K89" s="2"/>
      <c r="L89">
        <f t="shared" si="8"/>
        <v>2.50654008100981</v>
      </c>
      <c r="M89" s="2">
        <f t="shared" si="9"/>
        <v>2.21086103430084</v>
      </c>
      <c r="N89" s="2">
        <f t="shared" si="10"/>
        <v>1.48837480815205</v>
      </c>
      <c r="O89" s="2">
        <f t="shared" si="11"/>
        <v>2.70021933558295</v>
      </c>
    </row>
    <row r="90" s="1" customFormat="1" spans="1:15">
      <c r="A90" s="2" t="s">
        <v>95</v>
      </c>
      <c r="B90" s="2">
        <v>327680</v>
      </c>
      <c r="C90" s="2">
        <v>72.049</v>
      </c>
      <c r="D90" s="2">
        <v>90.4948</v>
      </c>
      <c r="E90" s="2">
        <v>60.3706</v>
      </c>
      <c r="F90" s="2">
        <v>74.271</v>
      </c>
      <c r="G90" s="4">
        <v>30.1713333129883</v>
      </c>
      <c r="H90" s="4">
        <v>39.7373313903809</v>
      </c>
      <c r="I90" s="4">
        <v>35.8773345947266</v>
      </c>
      <c r="J90" s="4">
        <v>29.7169990539551</v>
      </c>
      <c r="K90" s="2"/>
      <c r="L90">
        <f t="shared" si="8"/>
        <v>2.38799522886793</v>
      </c>
      <c r="M90" s="2">
        <f t="shared" si="9"/>
        <v>2.27732454177599</v>
      </c>
      <c r="N90" s="2">
        <f t="shared" si="10"/>
        <v>1.68269467846348</v>
      </c>
      <c r="O90" s="2">
        <f t="shared" si="11"/>
        <v>2.49927658796069</v>
      </c>
    </row>
    <row r="91" s="1" customFormat="1" spans="1:15">
      <c r="A91" s="2" t="s">
        <v>96</v>
      </c>
      <c r="B91" s="2">
        <v>1025404</v>
      </c>
      <c r="C91" s="2">
        <v>1638484.671</v>
      </c>
      <c r="D91" s="2">
        <v>1818009.652</v>
      </c>
      <c r="E91" s="2">
        <v>296637.757</v>
      </c>
      <c r="F91" s="2">
        <v>580217.738</v>
      </c>
      <c r="G91" s="4">
        <v>867900.75</v>
      </c>
      <c r="H91" s="4">
        <v>210470.21875</v>
      </c>
      <c r="I91" s="4">
        <v>235596.140625</v>
      </c>
      <c r="J91" s="4">
        <v>399540.59375</v>
      </c>
      <c r="K91" s="2"/>
      <c r="L91">
        <f t="shared" si="8"/>
        <v>1.88787101635757</v>
      </c>
      <c r="M91" s="2">
        <f t="shared" si="9"/>
        <v>8.63784749594175</v>
      </c>
      <c r="N91" s="2">
        <f t="shared" si="10"/>
        <v>1.25909429676168</v>
      </c>
      <c r="O91" s="2">
        <f t="shared" si="11"/>
        <v>1.45221223344092</v>
      </c>
    </row>
    <row r="92" s="1" customFormat="1" spans="1:15">
      <c r="A92" s="2" t="s">
        <v>97</v>
      </c>
      <c r="B92" s="2">
        <v>72356</v>
      </c>
      <c r="C92" s="2">
        <v>2303.7628</v>
      </c>
      <c r="D92" s="2">
        <v>166.8892</v>
      </c>
      <c r="E92" s="2">
        <v>3519.9896</v>
      </c>
      <c r="F92" s="2">
        <v>118.914</v>
      </c>
      <c r="G92" s="4">
        <v>261.899322509766</v>
      </c>
      <c r="H92" s="4">
        <v>36.9626655578613</v>
      </c>
      <c r="I92" s="4">
        <v>30.2903327941894</v>
      </c>
      <c r="J92" s="4">
        <v>22.9546661376953</v>
      </c>
      <c r="K92" s="2"/>
      <c r="L92">
        <f t="shared" si="8"/>
        <v>8.79636792460238</v>
      </c>
      <c r="M92" s="2">
        <f t="shared" si="9"/>
        <v>4.51507480538036</v>
      </c>
      <c r="N92" s="2">
        <f t="shared" si="10"/>
        <v>116.20835016627</v>
      </c>
      <c r="O92" s="2">
        <f t="shared" si="11"/>
        <v>5.1803846454</v>
      </c>
    </row>
    <row r="93" s="1" customFormat="1" spans="1:15">
      <c r="A93" s="2" t="s">
        <v>98</v>
      </c>
      <c r="B93" s="2">
        <v>176117</v>
      </c>
      <c r="C93" s="2">
        <v>2067.5246</v>
      </c>
      <c r="D93" s="2">
        <v>28.3736</v>
      </c>
      <c r="E93" s="2">
        <v>45.612</v>
      </c>
      <c r="F93" s="2">
        <v>50.4724</v>
      </c>
      <c r="G93" s="4">
        <v>475.377990722656</v>
      </c>
      <c r="H93" s="4">
        <v>5.68233299255371</v>
      </c>
      <c r="I93" s="4">
        <v>11.1359996795654</v>
      </c>
      <c r="J93" s="4">
        <v>8.19733333587646</v>
      </c>
      <c r="K93" s="2"/>
      <c r="L93">
        <f t="shared" si="8"/>
        <v>4.34922238797175</v>
      </c>
      <c r="M93" s="2">
        <f t="shared" si="9"/>
        <v>4.99330117351123</v>
      </c>
      <c r="N93" s="2">
        <f t="shared" si="10"/>
        <v>4.09590529027207</v>
      </c>
      <c r="O93" s="2">
        <f t="shared" si="11"/>
        <v>6.157173062501</v>
      </c>
    </row>
    <row r="94" s="1" customFormat="1" spans="1:15">
      <c r="A94" s="2" t="s">
        <v>99</v>
      </c>
      <c r="B94" s="2">
        <v>144579</v>
      </c>
      <c r="C94" s="2">
        <v>15.6658</v>
      </c>
      <c r="D94" s="2">
        <v>11.4478</v>
      </c>
      <c r="E94" s="2">
        <v>3.4256</v>
      </c>
      <c r="F94" s="2">
        <v>16.2352</v>
      </c>
      <c r="G94" s="4">
        <v>3.15666699409485</v>
      </c>
      <c r="H94" s="4">
        <v>1.72000002861023</v>
      </c>
      <c r="I94" s="4">
        <v>2.36500000953674</v>
      </c>
      <c r="J94" s="4">
        <v>2.27699995040894</v>
      </c>
      <c r="K94" s="2"/>
      <c r="L94">
        <f t="shared" si="8"/>
        <v>4.96276611670027</v>
      </c>
      <c r="M94" s="2">
        <f t="shared" si="9"/>
        <v>6.6556975637087</v>
      </c>
      <c r="N94" s="2">
        <f t="shared" si="10"/>
        <v>1.44845665377862</v>
      </c>
      <c r="O94" s="2">
        <f t="shared" si="11"/>
        <v>7.13008359841388</v>
      </c>
    </row>
    <row r="95" s="1" customFormat="1" spans="1:15">
      <c r="A95" s="2" t="s">
        <v>100</v>
      </c>
      <c r="B95" s="2">
        <v>144579</v>
      </c>
      <c r="C95" s="2">
        <v>1.3276</v>
      </c>
      <c r="D95" s="2">
        <v>11.5372</v>
      </c>
      <c r="E95" s="2">
        <v>3.4186</v>
      </c>
      <c r="F95" s="2">
        <v>16.2518</v>
      </c>
      <c r="G95" s="4">
        <v>0.406666994094849</v>
      </c>
      <c r="H95" s="4">
        <v>0.506332993507385</v>
      </c>
      <c r="I95" s="4">
        <v>2.31500005722046</v>
      </c>
      <c r="J95" s="4">
        <v>0.836667001247406</v>
      </c>
      <c r="K95" s="2"/>
      <c r="L95">
        <f t="shared" si="8"/>
        <v>3.26458753544763</v>
      </c>
      <c r="M95" s="2">
        <f t="shared" si="9"/>
        <v>22.7857954112005</v>
      </c>
      <c r="N95" s="2">
        <f t="shared" si="10"/>
        <v>1.47671702613459</v>
      </c>
      <c r="O95" s="2">
        <f t="shared" si="11"/>
        <v>19.4244543836076</v>
      </c>
    </row>
    <row r="96" s="1" customFormat="1" spans="1:15">
      <c r="A96" s="2" t="s">
        <v>101</v>
      </c>
      <c r="B96" s="2">
        <v>574458</v>
      </c>
      <c r="C96" s="2">
        <v>4595.0032</v>
      </c>
      <c r="D96" s="2">
        <v>4267.6256</v>
      </c>
      <c r="E96" s="2">
        <v>3367.7788</v>
      </c>
      <c r="F96" s="2">
        <v>3757.2438</v>
      </c>
      <c r="G96" s="4">
        <v>1555.89660644531</v>
      </c>
      <c r="H96" s="4">
        <v>1844.32397460937</v>
      </c>
      <c r="I96" s="4">
        <v>1930.50634765625</v>
      </c>
      <c r="J96" s="4">
        <v>1457.97131347656</v>
      </c>
      <c r="K96" s="2"/>
      <c r="L96">
        <f t="shared" si="8"/>
        <v>2.95328313010336</v>
      </c>
      <c r="M96" s="2">
        <f t="shared" si="9"/>
        <v>2.31392404954443</v>
      </c>
      <c r="N96" s="2">
        <f t="shared" si="10"/>
        <v>1.74450542682167</v>
      </c>
      <c r="O96" s="2">
        <f t="shared" si="11"/>
        <v>2.57703547749563</v>
      </c>
    </row>
    <row r="97" s="1" customFormat="1" spans="1:15">
      <c r="A97" s="2" t="s">
        <v>102</v>
      </c>
      <c r="B97" s="2">
        <v>1423116</v>
      </c>
      <c r="C97" s="2">
        <v>553.1186</v>
      </c>
      <c r="D97" s="2">
        <v>22.0146</v>
      </c>
      <c r="E97" s="2">
        <v>178.2528</v>
      </c>
      <c r="F97" s="2">
        <v>216.3832</v>
      </c>
      <c r="G97" s="4">
        <v>323.189331054688</v>
      </c>
      <c r="H97" s="4">
        <v>13.0153331756592</v>
      </c>
      <c r="I97" s="4">
        <v>133.262329101562</v>
      </c>
      <c r="J97" s="4">
        <v>92.2573318481445</v>
      </c>
      <c r="K97" s="2"/>
      <c r="L97">
        <f t="shared" si="8"/>
        <v>1.71143830210907</v>
      </c>
      <c r="M97" s="2">
        <f t="shared" si="9"/>
        <v>1.6914357629485</v>
      </c>
      <c r="N97" s="2">
        <f t="shared" si="10"/>
        <v>1.3376083188832</v>
      </c>
      <c r="O97" s="2">
        <f t="shared" si="11"/>
        <v>2.34543093394644</v>
      </c>
    </row>
    <row r="98" s="1" customFormat="1" spans="1:15">
      <c r="A98" s="2" t="s">
        <v>103</v>
      </c>
      <c r="B98" s="2">
        <v>711558</v>
      </c>
      <c r="C98" s="2">
        <v>75333.7974</v>
      </c>
      <c r="D98" s="2">
        <v>131536.1442</v>
      </c>
      <c r="E98" s="2">
        <v>55776.9826</v>
      </c>
      <c r="F98" s="2">
        <v>89278.178</v>
      </c>
      <c r="G98" s="4">
        <v>32350.55078125</v>
      </c>
      <c r="H98" s="4">
        <v>30333.646484375</v>
      </c>
      <c r="I98" s="4">
        <v>50578.97265625</v>
      </c>
      <c r="J98" s="4">
        <v>26681.50390625</v>
      </c>
      <c r="K98" s="2"/>
      <c r="L98">
        <f t="shared" si="8"/>
        <v>2.32867124610634</v>
      </c>
      <c r="M98" s="2">
        <f t="shared" si="9"/>
        <v>4.33631163558772</v>
      </c>
      <c r="N98" s="2">
        <f t="shared" si="10"/>
        <v>1.10277017643433</v>
      </c>
      <c r="O98" s="2">
        <f t="shared" si="11"/>
        <v>3.34606993345255</v>
      </c>
    </row>
    <row r="99" s="1" customFormat="1" spans="1:15">
      <c r="A99" s="2" t="s">
        <v>104</v>
      </c>
      <c r="B99" s="2">
        <v>197608</v>
      </c>
      <c r="C99" s="2">
        <v>5.203</v>
      </c>
      <c r="D99" s="2">
        <v>93.7726</v>
      </c>
      <c r="E99" s="2">
        <v>49.3468</v>
      </c>
      <c r="F99" s="2">
        <v>61.2434</v>
      </c>
      <c r="G99" s="4">
        <v>0.935000002384186</v>
      </c>
      <c r="H99" s="4">
        <v>36.281665802002</v>
      </c>
      <c r="I99" s="4">
        <v>35.1943321228027</v>
      </c>
      <c r="J99" s="4">
        <v>27.0230007171631</v>
      </c>
      <c r="K99" s="2"/>
      <c r="L99">
        <f t="shared" ref="L99:L115" si="12">C99/G99</f>
        <v>5.56470586816332</v>
      </c>
      <c r="M99" s="2">
        <f t="shared" ref="M99:M115" si="13">D99/H99</f>
        <v>2.58457261890179</v>
      </c>
      <c r="N99" s="2">
        <f t="shared" ref="N99:N115" si="14">E99/I99</f>
        <v>1.40212349613044</v>
      </c>
      <c r="O99" s="2">
        <f t="shared" ref="O99:O115" si="15">F99/J99</f>
        <v>2.26634342503283</v>
      </c>
    </row>
    <row r="100" s="1" customFormat="1" spans="1:15">
      <c r="A100" s="2" t="s">
        <v>105</v>
      </c>
      <c r="B100" s="2">
        <v>2040</v>
      </c>
      <c r="C100" s="2">
        <v>2.7394</v>
      </c>
      <c r="D100" s="2">
        <v>0.3176</v>
      </c>
      <c r="E100" s="2">
        <v>0.2956</v>
      </c>
      <c r="F100" s="2">
        <v>0.2986</v>
      </c>
      <c r="G100" s="4">
        <v>0.342667013406753</v>
      </c>
      <c r="H100" s="4">
        <v>0.0320000015199184</v>
      </c>
      <c r="I100" s="4">
        <v>2.44633293151855</v>
      </c>
      <c r="J100" s="4">
        <v>0.0390000008046627</v>
      </c>
      <c r="K100" s="2"/>
      <c r="L100">
        <f t="shared" si="12"/>
        <v>7.99434988727168</v>
      </c>
      <c r="M100" s="2">
        <f t="shared" si="13"/>
        <v>9.92499952858783</v>
      </c>
      <c r="N100" s="2">
        <f t="shared" si="14"/>
        <v>0.120833920923636</v>
      </c>
      <c r="O100" s="2">
        <f t="shared" si="15"/>
        <v>7.65641009844032</v>
      </c>
    </row>
    <row r="101" s="1" customFormat="1" spans="1:15">
      <c r="A101" s="2" t="s">
        <v>106</v>
      </c>
      <c r="B101" s="2">
        <v>2890</v>
      </c>
      <c r="C101" s="2">
        <v>3.8102</v>
      </c>
      <c r="D101" s="2">
        <v>0.4264</v>
      </c>
      <c r="E101" s="2">
        <v>0.3702</v>
      </c>
      <c r="F101" s="2">
        <v>0.3826</v>
      </c>
      <c r="G101" s="4">
        <v>0.543667018413544</v>
      </c>
      <c r="H101" s="4">
        <v>0.0503330007195473</v>
      </c>
      <c r="I101" s="4">
        <v>0.0796670019626617</v>
      </c>
      <c r="J101" s="4">
        <v>0.0520000010728836</v>
      </c>
      <c r="K101" s="2"/>
      <c r="L101">
        <f t="shared" si="12"/>
        <v>7.0083339083515</v>
      </c>
      <c r="M101" s="2">
        <f t="shared" si="13"/>
        <v>8.47157916087454</v>
      </c>
      <c r="N101" s="2">
        <f t="shared" si="14"/>
        <v>4.64684236735186</v>
      </c>
      <c r="O101" s="2">
        <f t="shared" si="15"/>
        <v>7.35769215588563</v>
      </c>
    </row>
    <row r="102" s="1" customFormat="1" spans="1:15">
      <c r="A102" s="2" t="s">
        <v>107</v>
      </c>
      <c r="B102" s="2">
        <v>41906</v>
      </c>
      <c r="C102" s="2">
        <v>49.2146</v>
      </c>
      <c r="D102" s="2">
        <v>2.7598</v>
      </c>
      <c r="E102" s="2">
        <v>3.356</v>
      </c>
      <c r="F102" s="2">
        <v>3.5514</v>
      </c>
      <c r="G102" s="4">
        <v>13.6976671218872</v>
      </c>
      <c r="H102" s="4">
        <v>0.435667008161545</v>
      </c>
      <c r="I102" s="4">
        <v>1.29533302783966</v>
      </c>
      <c r="J102" s="4">
        <v>0.398667007684708</v>
      </c>
      <c r="K102" s="2"/>
      <c r="L102">
        <f t="shared" si="12"/>
        <v>3.59291838252961</v>
      </c>
      <c r="M102" s="2">
        <f t="shared" si="13"/>
        <v>6.33465456024769</v>
      </c>
      <c r="N102" s="2">
        <f t="shared" si="14"/>
        <v>2.59083951993187</v>
      </c>
      <c r="O102" s="2">
        <f t="shared" si="15"/>
        <v>8.90818635990235</v>
      </c>
    </row>
    <row r="103" s="1" customFormat="1" spans="1:15">
      <c r="A103" s="2" t="s">
        <v>108</v>
      </c>
      <c r="B103" s="2">
        <v>554466</v>
      </c>
      <c r="C103" s="2">
        <v>696.4334</v>
      </c>
      <c r="D103" s="2">
        <v>29.2168</v>
      </c>
      <c r="E103" s="2">
        <v>34.2816</v>
      </c>
      <c r="F103" s="2">
        <v>39.476</v>
      </c>
      <c r="G103" s="4">
        <v>275.739013671875</v>
      </c>
      <c r="H103" s="4">
        <v>4.98400020599365</v>
      </c>
      <c r="I103" s="4">
        <v>7.18966722488403</v>
      </c>
      <c r="J103" s="4">
        <v>3.21833300590515</v>
      </c>
      <c r="K103" s="2"/>
      <c r="L103">
        <f t="shared" si="12"/>
        <v>2.52569772672337</v>
      </c>
      <c r="M103" s="2">
        <f t="shared" si="13"/>
        <v>5.86211853780915</v>
      </c>
      <c r="N103" s="2">
        <f t="shared" si="14"/>
        <v>4.76817617946886</v>
      </c>
      <c r="O103" s="2">
        <f t="shared" si="15"/>
        <v>12.2659774260673</v>
      </c>
    </row>
    <row r="104" s="1" customFormat="1" spans="1:15">
      <c r="A104" s="2" t="s">
        <v>109</v>
      </c>
      <c r="B104" s="2">
        <v>554435</v>
      </c>
      <c r="C104" s="2">
        <v>701.1554</v>
      </c>
      <c r="D104" s="2">
        <v>24.841</v>
      </c>
      <c r="E104" s="2">
        <v>34.0398</v>
      </c>
      <c r="F104" s="2">
        <v>38.3326</v>
      </c>
      <c r="G104" s="4">
        <v>266.880676269531</v>
      </c>
      <c r="H104" s="4">
        <v>4.9433331489563</v>
      </c>
      <c r="I104" s="4">
        <v>7.10900020599365</v>
      </c>
      <c r="J104" s="4">
        <v>3.26399993896484</v>
      </c>
      <c r="K104" s="2"/>
      <c r="L104">
        <f t="shared" si="12"/>
        <v>2.62722430788463</v>
      </c>
      <c r="M104" s="2">
        <f t="shared" si="13"/>
        <v>5.02515190691624</v>
      </c>
      <c r="N104" s="2">
        <f t="shared" si="14"/>
        <v>4.78826825343187</v>
      </c>
      <c r="O104" s="2">
        <f t="shared" si="15"/>
        <v>11.744056592157</v>
      </c>
    </row>
    <row r="105" s="1" customFormat="1" spans="1:15">
      <c r="A105" s="2" t="s">
        <v>110</v>
      </c>
      <c r="B105" s="2">
        <v>2873</v>
      </c>
      <c r="C105" s="2">
        <v>3.0976</v>
      </c>
      <c r="D105" s="2">
        <v>0.3326</v>
      </c>
      <c r="E105" s="2">
        <v>0.3034</v>
      </c>
      <c r="F105" s="2">
        <v>0.304</v>
      </c>
      <c r="G105" s="4">
        <v>0.422666996717453</v>
      </c>
      <c r="H105" s="4">
        <v>0.0373330004513264</v>
      </c>
      <c r="I105" s="4">
        <v>0.341333001852036</v>
      </c>
      <c r="J105" s="4">
        <v>0.0390000008046627</v>
      </c>
      <c r="K105" s="2"/>
      <c r="L105">
        <f t="shared" si="12"/>
        <v>7.32870090178984</v>
      </c>
      <c r="M105" s="2">
        <f t="shared" si="13"/>
        <v>8.90900800844105</v>
      </c>
      <c r="N105" s="2">
        <f t="shared" si="14"/>
        <v>0.888868050712308</v>
      </c>
      <c r="O105" s="2">
        <f t="shared" si="15"/>
        <v>7.79487163404507</v>
      </c>
    </row>
    <row r="106" s="1" customFormat="1" spans="1:15">
      <c r="A106" s="2" t="s">
        <v>111</v>
      </c>
      <c r="B106" s="2">
        <v>4678</v>
      </c>
      <c r="C106" s="2">
        <v>6.0418</v>
      </c>
      <c r="D106" s="2">
        <v>0.503</v>
      </c>
      <c r="E106" s="2">
        <v>0.505</v>
      </c>
      <c r="F106" s="2">
        <v>0.5228</v>
      </c>
      <c r="G106" s="4">
        <v>1.07066702842712</v>
      </c>
      <c r="H106" s="4">
        <v>0.0703329965472221</v>
      </c>
      <c r="I106" s="4">
        <v>0.113333001732826</v>
      </c>
      <c r="J106" s="4">
        <v>0.0806669965386391</v>
      </c>
      <c r="K106" s="2"/>
      <c r="L106">
        <f t="shared" si="12"/>
        <v>5.64302424524626</v>
      </c>
      <c r="M106" s="2">
        <f t="shared" si="13"/>
        <v>7.15169301314045</v>
      </c>
      <c r="N106" s="2">
        <f t="shared" si="14"/>
        <v>4.45589539038681</v>
      </c>
      <c r="O106" s="2">
        <f t="shared" si="15"/>
        <v>6.48096523278366</v>
      </c>
    </row>
    <row r="107" s="1" customFormat="1" spans="1:15">
      <c r="A107" s="2" t="s">
        <v>112</v>
      </c>
      <c r="B107" s="2">
        <v>8478</v>
      </c>
      <c r="C107" s="2">
        <v>10.6184</v>
      </c>
      <c r="D107" s="2">
        <v>0.7484</v>
      </c>
      <c r="E107" s="2">
        <v>0.806</v>
      </c>
      <c r="F107" s="2">
        <v>0.8358</v>
      </c>
      <c r="G107" s="4">
        <v>2.15100002288818</v>
      </c>
      <c r="H107" s="4">
        <v>0.130667001008987</v>
      </c>
      <c r="I107" s="4">
        <v>0.221332997083664</v>
      </c>
      <c r="J107" s="4">
        <v>0.136000007390976</v>
      </c>
      <c r="K107" s="2"/>
      <c r="L107">
        <f t="shared" si="12"/>
        <v>4.93649460112163</v>
      </c>
      <c r="M107" s="2">
        <f t="shared" si="13"/>
        <v>5.72753636511889</v>
      </c>
      <c r="N107" s="2">
        <f t="shared" si="14"/>
        <v>3.64157179733726</v>
      </c>
      <c r="O107" s="2">
        <f t="shared" si="15"/>
        <v>6.14558790130961</v>
      </c>
    </row>
    <row r="108" s="1" customFormat="1" spans="1:15">
      <c r="A108" s="2" t="s">
        <v>113</v>
      </c>
      <c r="B108" s="2">
        <v>12654</v>
      </c>
      <c r="C108" s="2">
        <v>14.5648</v>
      </c>
      <c r="D108" s="2">
        <v>0.9764</v>
      </c>
      <c r="E108" s="2">
        <v>1.1022</v>
      </c>
      <c r="F108" s="2">
        <v>1.1562</v>
      </c>
      <c r="G108" s="4">
        <v>3.35266709327698</v>
      </c>
      <c r="H108" s="4">
        <v>0.188666999340057</v>
      </c>
      <c r="I108" s="4">
        <v>0.438666999340057</v>
      </c>
      <c r="J108" s="4">
        <v>0.199667006731033</v>
      </c>
      <c r="K108" s="2"/>
      <c r="L108">
        <f t="shared" si="12"/>
        <v>4.34424283556409</v>
      </c>
      <c r="M108" s="2">
        <f t="shared" si="13"/>
        <v>5.17525589220889</v>
      </c>
      <c r="N108" s="2">
        <f t="shared" si="14"/>
        <v>2.51261207626327</v>
      </c>
      <c r="O108" s="2">
        <f t="shared" si="15"/>
        <v>5.79064122275089</v>
      </c>
    </row>
    <row r="109" s="1" customFormat="1" spans="1:15">
      <c r="A109" s="2" t="s">
        <v>114</v>
      </c>
      <c r="B109" s="2">
        <v>1100592</v>
      </c>
      <c r="C109" s="2">
        <v>6427.6068</v>
      </c>
      <c r="D109" s="2">
        <v>3728.301</v>
      </c>
      <c r="E109" s="2">
        <v>3254.3914</v>
      </c>
      <c r="F109" s="2">
        <v>2412.7004</v>
      </c>
      <c r="G109" s="4">
        <v>67585.6171875</v>
      </c>
      <c r="H109" s="4">
        <v>8433.666015625</v>
      </c>
      <c r="I109" s="4">
        <v>2280379</v>
      </c>
      <c r="J109" s="4">
        <v>10640.2578125</v>
      </c>
      <c r="K109" s="2"/>
      <c r="L109">
        <f t="shared" si="12"/>
        <v>0.0951031753127023</v>
      </c>
      <c r="M109" s="2">
        <f t="shared" si="13"/>
        <v>0.442073588531085</v>
      </c>
      <c r="N109" s="2">
        <f t="shared" si="14"/>
        <v>0.00142712742048581</v>
      </c>
      <c r="O109" s="2">
        <f t="shared" si="15"/>
        <v>0.226752062075564</v>
      </c>
    </row>
    <row r="110" s="1" customFormat="1" spans="1:15">
      <c r="A110" s="2" t="s">
        <v>115</v>
      </c>
      <c r="B110" s="2">
        <v>797974</v>
      </c>
      <c r="C110" s="2">
        <v>20525.1176</v>
      </c>
      <c r="D110" s="2">
        <v>13113.6472</v>
      </c>
      <c r="E110" s="2">
        <v>8235.459</v>
      </c>
      <c r="F110" s="2">
        <v>11303.6928</v>
      </c>
      <c r="G110" s="4">
        <v>36138.22265625</v>
      </c>
      <c r="H110" s="4">
        <v>17020.03125</v>
      </c>
      <c r="I110" s="4">
        <v>21035.671875</v>
      </c>
      <c r="J110" s="4">
        <v>12117.861328125</v>
      </c>
      <c r="K110" s="2"/>
      <c r="L110">
        <f t="shared" si="12"/>
        <v>0.567961457187221</v>
      </c>
      <c r="M110" s="2">
        <f t="shared" si="13"/>
        <v>0.770483144676952</v>
      </c>
      <c r="N110" s="2">
        <f t="shared" si="14"/>
        <v>0.39149968914411</v>
      </c>
      <c r="O110" s="2">
        <f t="shared" si="15"/>
        <v>0.932812523094702</v>
      </c>
    </row>
    <row r="111" s="1" customFormat="1" spans="1:15">
      <c r="A111" s="2" t="s">
        <v>116</v>
      </c>
      <c r="B111" s="2">
        <v>499982</v>
      </c>
      <c r="C111" s="2">
        <v>2897.86</v>
      </c>
      <c r="D111" s="2">
        <v>756.308</v>
      </c>
      <c r="E111" s="2">
        <v>862.5062</v>
      </c>
      <c r="F111" s="2">
        <v>908.8792</v>
      </c>
      <c r="G111" s="4">
        <v>423452.03125</v>
      </c>
      <c r="H111" s="4">
        <v>5418.03369140625</v>
      </c>
      <c r="I111" s="4">
        <v>1362118.625</v>
      </c>
      <c r="J111" s="4">
        <v>764548.25</v>
      </c>
      <c r="K111" s="2"/>
      <c r="L111">
        <f t="shared" si="12"/>
        <v>0.00684341976456159</v>
      </c>
      <c r="M111" s="2">
        <f t="shared" si="13"/>
        <v>0.139590863231362</v>
      </c>
      <c r="N111" s="2">
        <f t="shared" si="14"/>
        <v>0.000633209313909793</v>
      </c>
      <c r="O111" s="2">
        <f t="shared" si="15"/>
        <v>0.00118877938704326</v>
      </c>
    </row>
    <row r="112" s="1" customFormat="1" spans="1:15">
      <c r="A112" s="2" t="s">
        <v>117</v>
      </c>
      <c r="B112" s="2">
        <v>2336898</v>
      </c>
      <c r="C112" s="2">
        <v>30520.4924</v>
      </c>
      <c r="D112" s="2">
        <v>81236.718</v>
      </c>
      <c r="E112" s="2">
        <v>85123.0874</v>
      </c>
      <c r="F112" s="2" t="s">
        <v>7</v>
      </c>
      <c r="G112" s="4">
        <v>3109.14794921875</v>
      </c>
      <c r="H112" s="4">
        <v>718.482360839844</v>
      </c>
      <c r="I112" s="4">
        <v>908.511352539063</v>
      </c>
      <c r="J112" s="4">
        <v>1344.10534667969</v>
      </c>
      <c r="K112" s="2"/>
      <c r="L112">
        <f t="shared" si="12"/>
        <v>9.81635255011555</v>
      </c>
      <c r="M112" s="2">
        <f t="shared" si="13"/>
        <v>113.067101473502</v>
      </c>
      <c r="N112" s="2">
        <f t="shared" si="14"/>
        <v>93.6951279277933</v>
      </c>
      <c r="O112" s="2">
        <v>1000</v>
      </c>
    </row>
    <row r="113" s="1" customFormat="1" spans="1:15">
      <c r="A113" s="2" t="s">
        <v>118</v>
      </c>
      <c r="B113" s="2">
        <v>471601</v>
      </c>
      <c r="C113" s="2">
        <v>507.711</v>
      </c>
      <c r="D113" s="2">
        <v>12.942</v>
      </c>
      <c r="E113" s="2">
        <v>53.3946</v>
      </c>
      <c r="F113" s="2">
        <v>109.4372</v>
      </c>
      <c r="G113" s="4">
        <v>127.517333984375</v>
      </c>
      <c r="H113" s="4">
        <v>2.57633304595947</v>
      </c>
      <c r="I113" s="4">
        <v>31.408332824707</v>
      </c>
      <c r="J113" s="4">
        <v>27.6919994354248</v>
      </c>
      <c r="K113" s="2"/>
      <c r="L113">
        <f t="shared" si="12"/>
        <v>3.98150576189282</v>
      </c>
      <c r="M113" s="2">
        <f t="shared" si="13"/>
        <v>5.02341885506506</v>
      </c>
      <c r="N113" s="2">
        <f t="shared" si="14"/>
        <v>1.70001382429308</v>
      </c>
      <c r="O113" s="2">
        <f t="shared" si="15"/>
        <v>3.95194287993532</v>
      </c>
    </row>
    <row r="114" s="1" customFormat="1" spans="1:15">
      <c r="A114" s="2" t="s">
        <v>119</v>
      </c>
      <c r="B114" s="2">
        <v>565761</v>
      </c>
      <c r="C114" s="2">
        <v>522.2468</v>
      </c>
      <c r="D114" s="2">
        <v>15.2538</v>
      </c>
      <c r="E114" s="2">
        <v>64.143</v>
      </c>
      <c r="F114" s="2">
        <v>125.5416</v>
      </c>
      <c r="G114" s="4">
        <v>132.987670898437</v>
      </c>
      <c r="H114" s="4">
        <v>3.11766695976257</v>
      </c>
      <c r="I114" s="4">
        <v>36.2253341674805</v>
      </c>
      <c r="J114" s="4">
        <v>32.7910003662109</v>
      </c>
      <c r="K114" s="2"/>
      <c r="L114">
        <f t="shared" si="12"/>
        <v>3.92703170505814</v>
      </c>
      <c r="M114" s="2">
        <f t="shared" si="13"/>
        <v>4.89269707023539</v>
      </c>
      <c r="N114" s="2">
        <f t="shared" si="14"/>
        <v>1.77066689580965</v>
      </c>
      <c r="O114" s="2">
        <f t="shared" si="15"/>
        <v>3.8285382756838</v>
      </c>
    </row>
    <row r="115" s="1" customFormat="1" spans="1:15">
      <c r="A115" s="2" t="s">
        <v>120</v>
      </c>
      <c r="B115" s="2">
        <v>10167624</v>
      </c>
      <c r="C115" s="2">
        <v>1069772.269</v>
      </c>
      <c r="D115" s="2" t="s">
        <v>7</v>
      </c>
      <c r="E115" s="2">
        <v>1915685.757</v>
      </c>
      <c r="F115" s="2" t="s">
        <v>7</v>
      </c>
      <c r="G115" s="4">
        <v>566716.5625</v>
      </c>
      <c r="H115" s="4">
        <v>302554.28125</v>
      </c>
      <c r="I115" s="4">
        <v>177139.046875</v>
      </c>
      <c r="J115" s="4">
        <v>168881.25</v>
      </c>
      <c r="K115" s="2"/>
      <c r="L115">
        <f t="shared" si="12"/>
        <v>1.88766720400906</v>
      </c>
      <c r="M115" s="2">
        <v>1000</v>
      </c>
      <c r="N115" s="2">
        <f t="shared" si="14"/>
        <v>10.8145876970413</v>
      </c>
      <c r="O115" s="2">
        <v>1000</v>
      </c>
    </row>
    <row r="116" spans="1:15">
      <c r="K116" s="2" t="s">
        <v>121</v>
      </c>
      <c r="L116" s="2">
        <f>AVERAGE(L2:L115)</f>
        <v>100.732814287959</v>
      </c>
      <c r="M116" s="2">
        <f>AVERAGE(M2:M115)</f>
        <v>70.2930634155227</v>
      </c>
      <c r="N116" s="2">
        <f>AVERAGE(N2:N115)</f>
        <v>28.2609625504601</v>
      </c>
      <c r="O116" s="2">
        <f>AVERAGE(O2:O115)</f>
        <v>95.4848595466482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杜沁0621</cp:lastModifiedBy>
  <dcterms:created xsi:type="dcterms:W3CDTF">2023-05-12T11:15:00Z</dcterms:created>
  <dcterms:modified xsi:type="dcterms:W3CDTF">2026-09-29T15:23:33Z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9BBE4C46B7AE4ABCA76C8CADF948B02D_12</vt:lpwstr>
  </property>
  <property fmtid="{D5CDD505-2E9C-101B-9397-08002B2CF9AE}" pid="4" name="CalculationRule">
    <vt:i4>0</vt:i4>
  </property>
</Properties>
</file>