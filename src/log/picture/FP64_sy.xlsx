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CLionProjects\neon_spmv\src\log\picture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<sst xmlns="http://schemas.openxmlformats.org/spreadsheetml/2006/main" count="474" uniqueCount="465">
  <si>
    <t>matrix</t>
  </si>
  <si>
    <t>rows</t>
  </si>
  <si>
    <t>cols</t>
  </si>
  <si>
    <t>nnz</t>
  </si>
  <si>
    <t>time_csr_cpu</t>
  </si>
  <si>
    <t>time_csr_neon</t>
  </si>
  <si>
    <t>time_ell_neon</t>
  </si>
  <si>
    <t>time_ascr_neon</t>
  </si>
  <si>
    <t>time_sy_neon</t>
  </si>
  <si>
    <t>time_kml</t>
  </si>
  <si>
    <t>nnz_csr</t>
  </si>
  <si>
    <t>nnz_ell</t>
  </si>
  <si>
    <t>nnz_acsr</t>
  </si>
  <si>
    <t>nnz_sy</t>
  </si>
  <si>
    <t>CSR</t>
  </si>
  <si>
    <t>ELL</t>
  </si>
  <si>
    <t>ACSR</t>
  </si>
  <si>
    <t>SY</t>
  </si>
  <si>
    <t>KML</t>
  </si>
  <si>
    <t>2cubes_sphere/2cubes_sphere.mtx</t>
  </si>
  <si>
    <t>a0nsdsil/a0nsdsil.mtx</t>
  </si>
  <si>
    <t>a2nnsnsl/a2nnsnsl.mtx</t>
  </si>
  <si>
    <t>a5esindl/a5esindl.mtx</t>
  </si>
  <si>
    <t>ACTIVSg70K/ACTIVSg70K.mtx</t>
  </si>
  <si>
    <t>af_0_k101/af_0_k101.mtx</t>
  </si>
  <si>
    <t>af_1_k101/af_1_k101.mtx</t>
  </si>
  <si>
    <t>af_2_k101/af_2_k101.mtx</t>
  </si>
  <si>
    <t>af_3_k101/af_3_k101.mtx</t>
  </si>
  <si>
    <t>af_4_k101/af_4_k101.mtx</t>
  </si>
  <si>
    <t>af_5_k101/af_5_k101.mtx</t>
  </si>
  <si>
    <t>af_shell1/af_shell1.mtx</t>
  </si>
  <si>
    <t>af_shell10/af_shell10.mtx</t>
  </si>
  <si>
    <t>af_shell2/af_shell2.mtx</t>
  </si>
  <si>
    <t>af_shell3/af_shell3.mtx</t>
  </si>
  <si>
    <t>af_shell4/af_shell4.mtx</t>
  </si>
  <si>
    <t>af_shell5/af_shell5.mtx</t>
  </si>
  <si>
    <t>af_shell6/af_shell6.mtx</t>
  </si>
  <si>
    <t>af_shell7/af_shell7.mtx</t>
  </si>
  <si>
    <t>af_shell8/af_shell8.mtx</t>
  </si>
  <si>
    <t>af_shell9/af_shell9.mtx</t>
  </si>
  <si>
    <t>aft01/aft01.mtx</t>
  </si>
  <si>
    <t>analytics/analytics.mtx</t>
  </si>
  <si>
    <t>apache1/apache1.mtx</t>
  </si>
  <si>
    <t>apache2/apache2.mtx</t>
  </si>
  <si>
    <t>astro-ph/astro-ph.mtx</t>
  </si>
  <si>
    <t>audikw_1/audikw_1.mtx</t>
  </si>
  <si>
    <t>aug3dcqp/aug3dcqp.mtx</t>
  </si>
  <si>
    <t>bcsstk15/bcsstk15.mtx</t>
  </si>
  <si>
    <t>bcsstk16/bcsstk16.mtx</t>
  </si>
  <si>
    <t>bcsstk17/bcsstk17.mtx</t>
  </si>
  <si>
    <t>bcsstk18/bcsstk18.mtx</t>
  </si>
  <si>
    <t>bcsstk21/bcsstk21.mtx</t>
  </si>
  <si>
    <t>bcsstk23/bcsstk23.mtx</t>
  </si>
  <si>
    <t>bcsstk24/bcsstk24.mtx</t>
  </si>
  <si>
    <t>bcsstk25/bcsstk25.mtx</t>
  </si>
  <si>
    <t>bcsstk28/bcsstk28.mtx</t>
  </si>
  <si>
    <t>bcsstk35/bcsstk35.mtx</t>
  </si>
  <si>
    <t>bcsstk36/bcsstk36.mtx</t>
  </si>
  <si>
    <t>bcsstk37/bcsstk37.mtx</t>
  </si>
  <si>
    <t>bcsstk38/bcsstk38.mtx</t>
  </si>
  <si>
    <t>bcsstk39/bcsstk39.mtx</t>
  </si>
  <si>
    <t>bcsstm21/bcsstm21.mtx</t>
  </si>
  <si>
    <t>bcsstm23/bcsstm23.mtx</t>
  </si>
  <si>
    <t>bcsstm24/bcsstm24.mtx</t>
  </si>
  <si>
    <t>bcsstm25/bcsstm25.mtx</t>
  </si>
  <si>
    <t>bcsstm35/bcsstm35.mtx</t>
  </si>
  <si>
    <t>bcsstm36/bcsstm36.mtx</t>
  </si>
  <si>
    <t>bcsstm37/bcsstm37.mtx</t>
  </si>
  <si>
    <t>bcsstm38/bcsstm38.mtx</t>
  </si>
  <si>
    <t>bcsstm39/bcsstm39.mtx</t>
  </si>
  <si>
    <t>BenElechi1/BenElechi1.mtx</t>
  </si>
  <si>
    <t>benzene/benzene.mtx</t>
  </si>
  <si>
    <t>blockqp1/blockqp1.mtx</t>
  </si>
  <si>
    <t>bloweya/bloweya.mtx</t>
  </si>
  <si>
    <t>bloweybl/bloweybl.mtx</t>
  </si>
  <si>
    <t>bloweybq/bloweybq.mtx</t>
  </si>
  <si>
    <t>bmw3_2/bmw3_2.mtx</t>
  </si>
  <si>
    <t>bmw7st_1/bmw7st_1.mtx</t>
  </si>
  <si>
    <t>bmwcra_1/bmwcra_1.mtx</t>
  </si>
  <si>
    <t>bodyy4/bodyy4.mtx</t>
  </si>
  <si>
    <t>bodyy5/bodyy5.mtx</t>
  </si>
  <si>
    <t>bodyy6/bodyy6.mtx</t>
  </si>
  <si>
    <t>bone010/bone010.mtx</t>
  </si>
  <si>
    <t>boneS01/boneS01.mtx</t>
  </si>
  <si>
    <t>boneS10/boneS10.mtx</t>
  </si>
  <si>
    <t>boyd1/boyd1.mtx</t>
  </si>
  <si>
    <t>boyd2/boyd2.mtx</t>
  </si>
  <si>
    <t>brainpc2/brainpc2.mtx</t>
  </si>
  <si>
    <t>bratu3d/bratu3d.mtx</t>
  </si>
  <si>
    <t>Bump_2911/Bump_2911.mtx</t>
  </si>
  <si>
    <t>bundle1/bundle1.mtx</t>
  </si>
  <si>
    <t>bundle_adj/bundle_adj.mtx</t>
  </si>
  <si>
    <t>c-21/c-21.mtx</t>
  </si>
  <si>
    <t>c-22/c-22.mtx</t>
  </si>
  <si>
    <t>c-23/c-23.mtx</t>
  </si>
  <si>
    <t>c-24/c-24.mtx</t>
  </si>
  <si>
    <t>c-25/c-25.mtx</t>
  </si>
  <si>
    <t>c-26/c-26.mtx</t>
  </si>
  <si>
    <t>c-27/c-27.mtx</t>
  </si>
  <si>
    <t>c-28/c-28.mtx</t>
  </si>
  <si>
    <t>c-29/c-29.mtx</t>
  </si>
  <si>
    <t>c-30/c-30.mtx</t>
  </si>
  <si>
    <t>c-31/c-31.mtx</t>
  </si>
  <si>
    <t>c-32/c-32.mtx</t>
  </si>
  <si>
    <t>c-33/c-33.mtx</t>
  </si>
  <si>
    <t>c-34/c-34.mtx</t>
  </si>
  <si>
    <t>c-35/c-35.mtx</t>
  </si>
  <si>
    <t>c-36/c-36.mtx</t>
  </si>
  <si>
    <t>c-37/c-37.mtx</t>
  </si>
  <si>
    <t>c-38/c-38.mtx</t>
  </si>
  <si>
    <t>c-39/c-39.mtx</t>
  </si>
  <si>
    <t>c-40/c-40.mtx</t>
  </si>
  <si>
    <t>c-41/c-41.mtx</t>
  </si>
  <si>
    <t>c-42/c-42.mtx</t>
  </si>
  <si>
    <t>c-43/c-43.mtx</t>
  </si>
  <si>
    <t>c-44/c-44.mtx</t>
  </si>
  <si>
    <t>c-45/c-45.mtx</t>
  </si>
  <si>
    <t>c-46/c-46.mtx</t>
  </si>
  <si>
    <t>c-47/c-47.mtx</t>
  </si>
  <si>
    <t>c-48/c-48.mtx</t>
  </si>
  <si>
    <t>c-49/c-49.mtx</t>
  </si>
  <si>
    <t>c-50/c-50.mtx</t>
  </si>
  <si>
    <t>c-51/c-51.mtx</t>
  </si>
  <si>
    <t>c-52/c-52.mtx</t>
  </si>
  <si>
    <t>c-53/c-53.mtx</t>
  </si>
  <si>
    <t>c-54/c-54.mtx</t>
  </si>
  <si>
    <t>c-55/c-55.mtx</t>
  </si>
  <si>
    <t>c-56/c-56.mtx</t>
  </si>
  <si>
    <t>c-57/c-57.mtx</t>
  </si>
  <si>
    <t>c-58/c-58.mtx</t>
  </si>
  <si>
    <t>c-59/c-59.mtx</t>
  </si>
  <si>
    <t>c-60/c-60.mtx</t>
  </si>
  <si>
    <t>c-61/c-61.mtx</t>
  </si>
  <si>
    <t>c-62/c-62.mtx</t>
  </si>
  <si>
    <t>c-62ghs/c-62ghs.mtx</t>
  </si>
  <si>
    <t>c-63/c-63.mtx</t>
  </si>
  <si>
    <t>c-64/c-64.mtx</t>
  </si>
  <si>
    <t>c-64b/c-64b.mtx</t>
  </si>
  <si>
    <t>c-65/c-65.mtx</t>
  </si>
  <si>
    <t>c-66/c-66.mtx</t>
  </si>
  <si>
    <t>c-66b/c-66b.mtx</t>
  </si>
  <si>
    <t>c-67/c-67.mtx</t>
  </si>
  <si>
    <t>c-67b/c-67b.mtx</t>
  </si>
  <si>
    <t>c-68/c-68.mtx</t>
  </si>
  <si>
    <t>c-69/c-69.mtx</t>
  </si>
  <si>
    <t>c-70/c-70.mtx</t>
  </si>
  <si>
    <t>c-71/c-71.mtx</t>
  </si>
  <si>
    <t>c-72/c-72.mtx</t>
  </si>
  <si>
    <t>c-73/c-73.mtx</t>
  </si>
  <si>
    <t>c-73b/c-73b.mtx</t>
  </si>
  <si>
    <t>cant/cant.mtx</t>
  </si>
  <si>
    <t>case39/case39.mtx</t>
  </si>
  <si>
    <t>case9/case9.mtx</t>
  </si>
  <si>
    <t>c-big/c-big.mtx</t>
  </si>
  <si>
    <t>cbuckle/cbuckle.mtx</t>
  </si>
  <si>
    <t>cfd1/cfd1.mtx</t>
  </si>
  <si>
    <t>cfd2/cfd2.mtx</t>
  </si>
  <si>
    <t>CO/CO.mtx</t>
  </si>
  <si>
    <t>cond-mat/cond-mat.mtx</t>
  </si>
  <si>
    <t>cond-mat-2003/cond-mat-2003.mtx</t>
  </si>
  <si>
    <t>cond-mat-2005/cond-mat-2005.mtx</t>
  </si>
  <si>
    <t>consph/consph.mtx</t>
  </si>
  <si>
    <t>cont-201/cont-201.mtx</t>
  </si>
  <si>
    <t>cont-300/cont-300.mtx</t>
  </si>
  <si>
    <t>cop20k_A/cop20k_A.mtx</t>
  </si>
  <si>
    <t>copter2_id_1230/copter2_id_1230.mtx</t>
  </si>
  <si>
    <t>crankseg_1/crankseg_1.mtx</t>
  </si>
  <si>
    <t>crankseg_2/crankseg_2.mtx</t>
  </si>
  <si>
    <t>crystk01/crystk01.mtx</t>
  </si>
  <si>
    <t>crystk02/crystk02.mtx</t>
  </si>
  <si>
    <t>crystk03/crystk03.mtx</t>
  </si>
  <si>
    <t>crystm01/crystm01.mtx</t>
  </si>
  <si>
    <t>crystm02/crystm02.mtx</t>
  </si>
  <si>
    <t>crystm03/crystm03.mtx</t>
  </si>
  <si>
    <t>ct20stif/ct20stif.mtx</t>
  </si>
  <si>
    <t>Cube_Coup_dt0/Cube_Coup_dt0.mtx</t>
  </si>
  <si>
    <t>Cube_Coup_dt6/Cube_Coup_dt6.mtx</t>
  </si>
  <si>
    <t>CurlCurl_0/CurlCurl_0.mtx</t>
  </si>
  <si>
    <t>CurlCurl_1/CurlCurl_1.mtx</t>
  </si>
  <si>
    <t>CurlCurl_2/CurlCurl_2.mtx</t>
  </si>
  <si>
    <t>CurlCurl_3/CurlCurl_3.mtx</t>
  </si>
  <si>
    <t>CurlCurl_4/CurlCurl_4.mtx</t>
  </si>
  <si>
    <t>cvxbqp1/cvxbqp1.mtx</t>
  </si>
  <si>
    <t>cvxqp3/cvxqp3.mtx</t>
  </si>
  <si>
    <t>darcy003/darcy003.mtx</t>
  </si>
  <si>
    <t>dawson5/dawson5.mtx</t>
  </si>
  <si>
    <t>denormal/denormal.mtx</t>
  </si>
  <si>
    <t>dielFilterV2real/dielFilterV2real.mtx</t>
  </si>
  <si>
    <t>dielFilterV3real/dielFilterV3real.mtx</t>
  </si>
  <si>
    <t>dixmaanl/dixmaanl.mtx</t>
  </si>
  <si>
    <t>d_pretok/d_pretok.mtx</t>
  </si>
  <si>
    <t>dtoc/dtoc.mtx</t>
  </si>
  <si>
    <t>Dubcova1/Dubcova1.mtx</t>
  </si>
  <si>
    <t>Dubcova2/Dubcova2.mtx</t>
  </si>
  <si>
    <t>Dubcova3/Dubcova3.mtx</t>
  </si>
  <si>
    <t>dynamicSoaringProblem_4/dynamicSoaringProblem_4.mtx</t>
  </si>
  <si>
    <t>dynamicSoaringProblem_5/dynamicSoaringProblem_5.mtx</t>
  </si>
  <si>
    <t>dynamicSoaringProblem_6/dynamicSoaringProblem_6.mtx</t>
  </si>
  <si>
    <t>dynamicSoaringProblem_7/dynamicSoaringProblem_7.mtx</t>
  </si>
  <si>
    <t>dynamicSoaringProblem_8/dynamicSoaringProblem_8.mtx</t>
  </si>
  <si>
    <t>ecology1/ecology1.mtx</t>
  </si>
  <si>
    <t>ecology2/ecology2.mtx</t>
  </si>
  <si>
    <t>Emilia_923/Emilia_923.mtx</t>
  </si>
  <si>
    <t>eurqsa/eurqsa.mtx</t>
  </si>
  <si>
    <t>ex12/ex12.mtx</t>
  </si>
  <si>
    <t>ex14/ex14.mtx</t>
  </si>
  <si>
    <t>ex15/ex15.mtx</t>
  </si>
  <si>
    <t>ex9/ex9.mtx</t>
  </si>
  <si>
    <t>exdata_1/exdata_1.mtx</t>
  </si>
  <si>
    <t>F1/F1.mtx</t>
  </si>
  <si>
    <t>F2/F2.mtx</t>
  </si>
  <si>
    <t>Fashion_MNIST_norm_10NN/Fashion_MNIST_norm_10NN.mtx</t>
  </si>
  <si>
    <t>Fault_639/Fault_639.mtx</t>
  </si>
  <si>
    <t>filter3D/filter3D.mtx</t>
  </si>
  <si>
    <t>finan512/finan512.mtx</t>
  </si>
  <si>
    <t>Flan_1565/Flan_1565.mtx</t>
  </si>
  <si>
    <t>flowmeter0/flowmeter0.mtx</t>
  </si>
  <si>
    <t>freeFlyingRobot_10/freeFlyingRobot_10.mtx</t>
  </si>
  <si>
    <t>freeFlyingRobot_11/freeFlyingRobot_11.mtx</t>
  </si>
  <si>
    <t>freeFlyingRobot_12/freeFlyingRobot_12.mtx</t>
  </si>
  <si>
    <t>freeFlyingRobot_13/freeFlyingRobot_13.mtx</t>
  </si>
  <si>
    <t>freeFlyingRobot_14/freeFlyingRobot_14.mtx</t>
  </si>
  <si>
    <t>freeFlyingRobot_15/freeFlyingRobot_15.mtx</t>
  </si>
  <si>
    <t>freeFlyingRobot_16/freeFlyingRobot_16.mtx</t>
  </si>
  <si>
    <t>freeFlyingRobot_6/freeFlyingRobot_6.mtx</t>
  </si>
  <si>
    <t>freeFlyingRobot_7/freeFlyingRobot_7.mtx</t>
  </si>
  <si>
    <t>freeFlyingRobot_8/freeFlyingRobot_8.mtx</t>
  </si>
  <si>
    <t>freeFlyingRobot_9/freeFlyingRobot_9.mtx</t>
  </si>
  <si>
    <t>fv1/fv1.mtx</t>
  </si>
  <si>
    <t>fv2/fv2.mtx</t>
  </si>
  <si>
    <t>fv3/fv3.mtx</t>
  </si>
  <si>
    <t>G2_circuit/G2_circuit.mtx</t>
  </si>
  <si>
    <t>G3_circuit/G3_circuit.mtx</t>
  </si>
  <si>
    <t>Ga10As10H30/Ga10As10H30.mtx</t>
  </si>
  <si>
    <t>Ga19As19H42/Ga19As19H42.mtx</t>
  </si>
  <si>
    <t>Ga3As3H12/Ga3As3H12.mtx</t>
  </si>
  <si>
    <t>Ga41As41H72/Ga41As41H72.mtx</t>
  </si>
  <si>
    <t>GaAsH6/GaAsH6.mtx</t>
  </si>
  <si>
    <t>gas_sensor/gas_sensor.mtx</t>
  </si>
  <si>
    <t>Ge87H76/Ge87H76.mtx</t>
  </si>
  <si>
    <t>Ge99H100/Ge99H100.mtx</t>
  </si>
  <si>
    <t>Geo_1438/Geo_1438.mtx</t>
  </si>
  <si>
    <t>gridgena/gridgena.mtx</t>
  </si>
  <si>
    <t>gsm_106857/gsm_106857.mtx</t>
  </si>
  <si>
    <t>gyro/gyro.mtx</t>
  </si>
  <si>
    <t>gyro_k/gyro_k.mtx</t>
  </si>
  <si>
    <t>gyro_m/gyro_m.mtx</t>
  </si>
  <si>
    <t>H2O/H2O.mtx</t>
  </si>
  <si>
    <t>hangGlider_3/hangGlider_3.mtx</t>
  </si>
  <si>
    <t>hangGlider_4/hangGlider_4.mtx</t>
  </si>
  <si>
    <t>hangGlider_5/hangGlider_5.mtx</t>
  </si>
  <si>
    <t>har_10NN/har_10NN.mtx</t>
  </si>
  <si>
    <t>helm2d03/helm2d03.mtx</t>
  </si>
  <si>
    <t>helm3d01/helm3d01.mtx</t>
  </si>
  <si>
    <t>hep-th/hep-th.mtx</t>
  </si>
  <si>
    <t>hood/hood.mtx</t>
  </si>
  <si>
    <t>Hook_1498/Hook_1498.mtx</t>
  </si>
  <si>
    <t>HTC_336_4438/HTC_336_4438.mtx</t>
  </si>
  <si>
    <t>HTC_336_9129/HTC_336_9129.mtx</t>
  </si>
  <si>
    <t>human_gene1/human_gene1.mtx</t>
  </si>
  <si>
    <t>human_gene2/human_gene2.mtx</t>
  </si>
  <si>
    <t>indianpines_10NN/indianpines_10NN.mtx</t>
  </si>
  <si>
    <t>inline_1/inline_1.mtx</t>
  </si>
  <si>
    <t>JapaneseVowelsSmall_10NN/JapaneseVowelsSmall_10NN.mtx</t>
  </si>
  <si>
    <t>jnlbrng1/jnlbrng1.mtx</t>
  </si>
  <si>
    <t>k1_san/k1_san.mtx</t>
  </si>
  <si>
    <t>k49_norm_10NN/k49_norm_10NN.mtx</t>
  </si>
  <si>
    <t>kineticBatchReactor_2/kineticBatchReactor_2.mtx</t>
  </si>
  <si>
    <t>kineticBatchReactor_3/kineticBatchReactor_3.mtx</t>
  </si>
  <si>
    <t>kineticBatchReactor_4/kineticBatchReactor_4.mtx</t>
  </si>
  <si>
    <t>kineticBatchReactor_5/kineticBatchReactor_5.mtx</t>
  </si>
  <si>
    <t>kineticBatchReactor_6/kineticBatchReactor_6.mtx</t>
  </si>
  <si>
    <t>kineticBatchReactor_7/kineticBatchReactor_7.mtx</t>
  </si>
  <si>
    <t>kineticBatchReactor_8/kineticBatchReactor_8.mtx</t>
  </si>
  <si>
    <t>kineticBatchReactor_9/kineticBatchReactor_9.mtx</t>
  </si>
  <si>
    <t>kkt_power/kkt_power.mtx</t>
  </si>
  <si>
    <t>kmnist_norm_10NN/kmnist_norm_10NN.mtx</t>
  </si>
  <si>
    <t>Kuu/Kuu.mtx</t>
  </si>
  <si>
    <t>laser/laser.mtx</t>
  </si>
  <si>
    <t>ldoor/ldoor.mtx</t>
  </si>
  <si>
    <t>LF10000/LF10000.mtx</t>
  </si>
  <si>
    <t>LFAT5000/LFAT5000.mtx</t>
  </si>
  <si>
    <t>Lin/Lin.mtx</t>
  </si>
  <si>
    <t>linverse/linverse.mtx</t>
  </si>
  <si>
    <t>Long_Coup_dt0/Long_Coup_dt0.mtx</t>
  </si>
  <si>
    <t>Long_Coup_dt6/Long_Coup_dt6.mtx</t>
  </si>
  <si>
    <t>lowThrust_10/lowThrust_10.mtx</t>
  </si>
  <si>
    <t>lowThrust_11/lowThrust_11.mtx</t>
  </si>
  <si>
    <t>lowThrust_12/lowThrust_12.mtx</t>
  </si>
  <si>
    <t>lowThrust_13/lowThrust_13.mtx</t>
  </si>
  <si>
    <t>lowThrust_3/lowThrust_3.mtx</t>
  </si>
  <si>
    <t>lowThrust_4/lowThrust_4.mtx</t>
  </si>
  <si>
    <t>lowThrust_5/lowThrust_5.mtx</t>
  </si>
  <si>
    <t>lowThrust_6/lowThrust_6.mtx</t>
  </si>
  <si>
    <t>lowThrust_7/lowThrust_7.mtx</t>
  </si>
  <si>
    <t>lowThrust_8/lowThrust_8.mtx</t>
  </si>
  <si>
    <t>lowThrust_9/lowThrust_9.mtx</t>
  </si>
  <si>
    <t>m3plates/m3plates.mtx</t>
  </si>
  <si>
    <t>mario001/mario001.mtx</t>
  </si>
  <si>
    <t>mario002/mario002.mtx</t>
  </si>
  <si>
    <t>meg4/meg4.mtx</t>
  </si>
  <si>
    <t>mhd3200b/mhd3200b.mtx</t>
  </si>
  <si>
    <t>mhd4800b/mhd4800b.mtx</t>
  </si>
  <si>
    <t>minsurfo/minsurfo.mtx</t>
  </si>
  <si>
    <t>mnist_test_norm_10NN/mnist_test_norm_10NN.mtx</t>
  </si>
  <si>
    <t>mouse_gene/mouse_gene.mtx</t>
  </si>
  <si>
    <t>msc04515/msc04515.mtx</t>
  </si>
  <si>
    <t>msc10848/msc10848.mtx</t>
  </si>
  <si>
    <t>msc23052/msc23052.mtx</t>
  </si>
  <si>
    <t>msdoor/msdoor.mtx</t>
  </si>
  <si>
    <t>m_t1/m_t1.mtx</t>
  </si>
  <si>
    <t>Muu/Muu.mtx</t>
  </si>
  <si>
    <t>Na5/Na5.mtx</t>
  </si>
  <si>
    <t>nasa4704_id_760/nasa4704_id_760.mtx</t>
  </si>
  <si>
    <t>nasasrb/nasasrb.mtx</t>
  </si>
  <si>
    <t>ncvxbqp1/ncvxbqp1.mtx</t>
  </si>
  <si>
    <t>ncvxqp1/ncvxqp1.mtx</t>
  </si>
  <si>
    <t>ncvxqp3/ncvxqp3.mtx</t>
  </si>
  <si>
    <t>ncvxqp5/ncvxqp5.mtx</t>
  </si>
  <si>
    <t>ncvxqp7/ncvxqp7.mtx</t>
  </si>
  <si>
    <t>ncvxqp9/ncvxqp9.mtx</t>
  </si>
  <si>
    <t>nd12k/nd12k.mtx</t>
  </si>
  <si>
    <t>nd24k/nd24k.mtx</t>
  </si>
  <si>
    <t>nd3k/nd3k.mtx</t>
  </si>
  <si>
    <t>nd6k/nd6k.mtx</t>
  </si>
  <si>
    <t>nemeth01/nemeth01.mtx</t>
  </si>
  <si>
    <t>nemeth02/nemeth02.mtx</t>
  </si>
  <si>
    <t>nemeth03/nemeth03.mtx</t>
  </si>
  <si>
    <t>nemeth04/nemeth04.mtx</t>
  </si>
  <si>
    <t>nemeth05/nemeth05.mtx</t>
  </si>
  <si>
    <t>nemeth06/nemeth06.mtx</t>
  </si>
  <si>
    <t>nemeth07/nemeth07.mtx</t>
  </si>
  <si>
    <t>nemeth08/nemeth08.mtx</t>
  </si>
  <si>
    <t>nemeth09/nemeth09.mtx</t>
  </si>
  <si>
    <t>nemeth10/nemeth10.mtx</t>
  </si>
  <si>
    <t>nemeth11/nemeth11.mtx</t>
  </si>
  <si>
    <t>nemeth12/nemeth12.mtx</t>
  </si>
  <si>
    <t>nemeth13/nemeth13.mtx</t>
  </si>
  <si>
    <t>nemeth14/nemeth14.mtx</t>
  </si>
  <si>
    <t>nemeth15/nemeth15.mtx</t>
  </si>
  <si>
    <t>nemeth16/nemeth16.mtx</t>
  </si>
  <si>
    <t>nemeth17/nemeth17.mtx</t>
  </si>
  <si>
    <t>nemeth18/nemeth18.mtx</t>
  </si>
  <si>
    <t>nemeth19/nemeth19.mtx</t>
  </si>
  <si>
    <t>nemeth20/nemeth20.mtx</t>
  </si>
  <si>
    <t>nemeth21/nemeth21.mtx</t>
  </si>
  <si>
    <t>nemeth22/nemeth22.mtx</t>
  </si>
  <si>
    <t>nemeth23/nemeth23.mtx</t>
  </si>
  <si>
    <t>nemeth24/nemeth24.mtx</t>
  </si>
  <si>
    <t>nemeth25/nemeth25.mtx</t>
  </si>
  <si>
    <t>nemeth26/nemeth26.mtx</t>
  </si>
  <si>
    <t>nlpkkt120/nlpkkt120.mtx</t>
  </si>
  <si>
    <t>nlpkkt80/nlpkkt80.mtx</t>
  </si>
  <si>
    <t>obstclae/obstclae.mtx</t>
  </si>
  <si>
    <t>offshore/offshore.mtx</t>
  </si>
  <si>
    <t>oilpan/oilpan.mtx</t>
  </si>
  <si>
    <t>olafu/olafu.mtx</t>
  </si>
  <si>
    <t>olesnik0/olesnik0.mtx</t>
  </si>
  <si>
    <t>OPF_10000/OPF_10000.mtx</t>
  </si>
  <si>
    <t>OPF_3754/OPF_3754.mtx</t>
  </si>
  <si>
    <t>OPF_6000/OPF_6000.mtx</t>
  </si>
  <si>
    <t>optdigits_10NN/optdigits_10NN.mtx</t>
  </si>
  <si>
    <t>parabolic_fem/parabolic_fem.mtx</t>
  </si>
  <si>
    <t>pdb1HYS/pdb1HYS.mtx</t>
  </si>
  <si>
    <t>PFlow_742/PFlow_742.mtx</t>
  </si>
  <si>
    <t>Pres_Poisson/Pres_Poisson.mtx</t>
  </si>
  <si>
    <t>pwtk/pwtk.mtx</t>
  </si>
  <si>
    <t>qa8fk/qa8fk.mtx</t>
  </si>
  <si>
    <t>qa8fm/qa8fm.mtx</t>
  </si>
  <si>
    <t>qpband/qpband.mtx</t>
  </si>
  <si>
    <t>Queen_4147/Queen_4147.mtx</t>
  </si>
  <si>
    <t>raefsky4/raefsky4.mtx</t>
  </si>
  <si>
    <t>rail_20209/rail_20209.mtx</t>
  </si>
  <si>
    <t>rail_5177/rail_5177.mtx</t>
  </si>
  <si>
    <t>rail_79841/rail_79841.mtx</t>
  </si>
  <si>
    <t>reorientation_6/reorientation_6.mtx</t>
  </si>
  <si>
    <t>reorientation_7/reorientation_7.mtx</t>
  </si>
  <si>
    <t>reorientation_8/reorientation_8.mtx</t>
  </si>
  <si>
    <t>s1rmq4m1/s1rmq4m1.mtx</t>
  </si>
  <si>
    <t>s1rmt3m1/s1rmt3m1.mtx</t>
  </si>
  <si>
    <t>s2rmq4m1/s2rmq4m1.mtx</t>
  </si>
  <si>
    <t>s2rmt3m1/s2rmt3m1.mtx</t>
  </si>
  <si>
    <t>s3dkq4m2/s3dkq4m2.mtx</t>
  </si>
  <si>
    <t>s3dkt3m2/s3dkt3m2.mtx</t>
  </si>
  <si>
    <t>s3rmq4m1/s3rmq4m1.mtx</t>
  </si>
  <si>
    <t>s3rmt3m1/s3rmt3m1.mtx</t>
  </si>
  <si>
    <t>s3rmt3m3/s3rmt3m3.mtx</t>
  </si>
  <si>
    <t>saylr4/saylr4.mtx</t>
  </si>
  <si>
    <t>Serena/Serena.mtx</t>
  </si>
  <si>
    <t>shallow_water1/shallow_water1.mtx</t>
  </si>
  <si>
    <t>shallow_water2/shallow_water2.mtx</t>
  </si>
  <si>
    <t>ship_001/ship_001.mtx</t>
  </si>
  <si>
    <t>ship_003/ship_003.mtx</t>
  </si>
  <si>
    <t>shipsec1/shipsec1.mtx</t>
  </si>
  <si>
    <t>shipsec5/shipsec5.mtx</t>
  </si>
  <si>
    <t>shipsec8/shipsec8.mtx</t>
  </si>
  <si>
    <t>Si10H16/Si10H16.mtx</t>
  </si>
  <si>
    <t>Si34H36/Si34H36.mtx</t>
  </si>
  <si>
    <t>Si41Ge41H72/Si41Ge41H72.mtx</t>
  </si>
  <si>
    <t>Si5H12/Si5H12.mtx</t>
  </si>
  <si>
    <t>Si87H76/Si87H76.mtx</t>
  </si>
  <si>
    <t>SiH4/SiH4.mtx</t>
  </si>
  <si>
    <t>SiNa/SiNa.mtx</t>
  </si>
  <si>
    <t>SiO/SiO.mtx</t>
  </si>
  <si>
    <t>SiO2/SiO2.mtx</t>
  </si>
  <si>
    <t>sit100/sit100.mtx</t>
  </si>
  <si>
    <t>smt/smt.mtx</t>
  </si>
  <si>
    <t>sparsine/sparsine.mtx</t>
  </si>
  <si>
    <t>spmsrtls/spmsrtls.mtx</t>
  </si>
  <si>
    <t>StocF-1465/StocF-1465.mtx</t>
  </si>
  <si>
    <t>stokes128/stokes128.mtx</t>
  </si>
  <si>
    <t>stokes64/stokes64.mtx</t>
  </si>
  <si>
    <t>stokes64s/stokes64s.mtx</t>
  </si>
  <si>
    <t>sts4098/sts4098.mtx</t>
  </si>
  <si>
    <t>t2dah/t2dah.mtx</t>
  </si>
  <si>
    <t>t2dah_a/t2dah_a.mtx</t>
  </si>
  <si>
    <t>t2dah_e/t2dah_e.mtx</t>
  </si>
  <si>
    <t>t2dal/t2dal.mtx</t>
  </si>
  <si>
    <t>t2dal_a/t2dal_a.mtx</t>
  </si>
  <si>
    <t>t2dal_bci/t2dal_bci.mtx</t>
  </si>
  <si>
    <t>t2dal_e/t2dal_e.mtx</t>
  </si>
  <si>
    <t>t3dh/t3dh.mtx</t>
  </si>
  <si>
    <t>t3dh_a/t3dh_a.mtx</t>
  </si>
  <si>
    <t>t3dh_e/t3dh_e.mtx</t>
  </si>
  <si>
    <t>t3dl/t3dl.mtx</t>
  </si>
  <si>
    <t>t3dl_a/t3dl_a.mtx</t>
  </si>
  <si>
    <t>t3dl_e/t3dl_e.mtx</t>
  </si>
  <si>
    <t>ted_B/ted_B.mtx</t>
  </si>
  <si>
    <t>ted_B_unscaled/ted_B_unscaled.mtx</t>
  </si>
  <si>
    <t>TEM152078/TEM152078.mtx</t>
  </si>
  <si>
    <t>TEM181302/TEM181302.mtx</t>
  </si>
  <si>
    <t>TEM27623/TEM27623.mtx</t>
  </si>
  <si>
    <t>thermal1/thermal1.mtx</t>
  </si>
  <si>
    <t>thermal2/thermal2.mtx</t>
  </si>
  <si>
    <t>thermomech_dM/thermomech_dM.mtx</t>
  </si>
  <si>
    <t>thermomech_TC/thermomech_TC.mtx</t>
  </si>
  <si>
    <t>thermomech_TK/thermomech_TK.mtx</t>
  </si>
  <si>
    <t>thread/thread.mtx</t>
  </si>
  <si>
    <t>tmt_sym/tmt_sym.mtx</t>
  </si>
  <si>
    <t>torsion1/torsion1.mtx</t>
  </si>
  <si>
    <t>TSC_OPF_1047/TSC_OPF_1047.mtx</t>
  </si>
  <si>
    <t>TSC_OPF_300/TSC_OPF_300.mtx</t>
  </si>
  <si>
    <t>TSOPF_FS_b162_c1/TSOPF_FS_b162_c1.mtx</t>
  </si>
  <si>
    <t>TSOPF_FS_b162_c3/TSOPF_FS_b162_c3.mtx</t>
  </si>
  <si>
    <t>TSOPF_FS_b162_c4/TSOPF_FS_b162_c4.mtx</t>
  </si>
  <si>
    <t>TSOPF_FS_b300/TSOPF_FS_b300.mtx</t>
  </si>
  <si>
    <t>TSOPF_FS_b300_c1/TSOPF_FS_b300_c1.mtx</t>
  </si>
  <si>
    <t>TSOPF_FS_b300_c2/TSOPF_FS_b300_c2.mtx</t>
  </si>
  <si>
    <t>TSOPF_FS_b300_c3/TSOPF_FS_b300_c3.mtx</t>
  </si>
  <si>
    <t>TSOPF_FS_b39_c19/TSOPF_FS_b39_c19.mtx</t>
  </si>
  <si>
    <t>TSOPF_FS_b39_c30/TSOPF_FS_b39_c30.mtx</t>
  </si>
  <si>
    <t>TSOPF_FS_b39_c7/TSOPF_FS_b39_c7.mtx</t>
  </si>
  <si>
    <t>TSOPF_FS_b9_c6/TSOPF_FS_b9_c6.mtx</t>
  </si>
  <si>
    <t>tuma1/tuma1.mtx</t>
  </si>
  <si>
    <t>tuma2/tuma2.mtx</t>
  </si>
  <si>
    <t>turon_m/turon_m.mtx</t>
  </si>
  <si>
    <t>usps_norm_5NN/usps_norm_5NN.mtx</t>
  </si>
  <si>
    <t>vanbody/vanbody.mtx</t>
  </si>
  <si>
    <t>vibrobox/vibrobox.mtx</t>
  </si>
  <si>
    <t>wathen100/wathen100.mtx</t>
  </si>
  <si>
    <t>wathen120/wathen120.mtx</t>
  </si>
  <si>
    <t>worms20_10NN/worms20_10NN.mtx</t>
  </si>
  <si>
    <t>x104/x104.mtx</t>
  </si>
  <si>
    <t>memory</t>
  </si>
  <si>
    <t>Speed 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</si>
</sst>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49"/>
  <sheetViews>
    <sheetView tabSelected="1" topLeftCell="G422" workbookViewId="0">
      <selection activeCell="S449" sqref="S449"/>
    </sheetView>
  </sheetViews>
  <sheetFormatPr defaultColWidth="9" defaultRowHeight="14.4"/>
  <cols>
    <col min="1" max="3" width="9" style="1"/>
    <col min="4" max="4" width="10.6666666666667" style="1"/>
    <col min="5" max="10" width="9.66666666666667" style="1"/>
    <col min="11" max="12" width="10.6666666666667" style="1"/>
    <col min="13" max="13" width="12.8888888888889" style="2"/>
    <col min="14" max="14" width="10.6666666666667" style="1"/>
    <col min="15" max="15" width="12.8888888888889" style="2"/>
    <col min="16" max="16" width="10.6666666666667" style="1"/>
    <col min="17" max="17" width="12.8888888888889" style="2"/>
    <col min="18" max="18" width="9" style="1"/>
    <col min="19" max="23" width="12.8888888888889" style="1"/>
    <col min="24" max="16384" width="9" style="1"/>
  </cols>
  <sheetData>
    <row r="1" spans="1:2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3" t="s">
        <v>12</v>
      </c>
      <c r="O1" s="4"/>
      <c r="P1" s="3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</row>
    <row r="2" spans="1:23">
      <c r="A2" s="1" t="s">
        <v>19</v>
      </c>
      <c r="B2" s="1">
        <v>101492</v>
      </c>
      <c r="C2" s="1">
        <v>101492</v>
      </c>
      <c r="D2" s="1">
        <v>1647264</v>
      </c>
      <c r="E2" s="1">
        <v>35.872</v>
      </c>
      <c r="F2" s="1">
        <v>34.944</v>
      </c>
      <c r="G2" s="1">
        <v>33.06</v>
      </c>
      <c r="H2" s="1">
        <v>54.328</v>
      </c>
      <c r="I2" s="1">
        <v>48.259</v>
      </c>
      <c r="J2" s="1">
        <v>40.449</v>
      </c>
      <c r="K2" s="1">
        <v>1647264</v>
      </c>
      <c r="L2" s="1">
        <v>1648760</v>
      </c>
      <c r="M2" s="2">
        <f>L2/K2</f>
        <v>1.00090817258193</v>
      </c>
      <c r="N2" s="1">
        <v>3068472</v>
      </c>
      <c r="O2" s="2">
        <f>N2/K2</f>
        <v>1.86276880937118</v>
      </c>
      <c r="P2" s="1">
        <v>1486658</v>
      </c>
      <c r="Q2" s="2">
        <f>P2/K2</f>
        <v>0.902501359830604</v>
      </c>
      <c r="S2" s="1">
        <f>E2/F2</f>
        <v>1.02655677655678</v>
      </c>
      <c r="T2" s="1">
        <f>E2/G2</f>
        <v>1.08505747126437</v>
      </c>
      <c r="U2" s="1">
        <f>E2/H2</f>
        <v>0.660285672213223</v>
      </c>
      <c r="V2" s="1">
        <f>E2/I2</f>
        <v>0.743322489069396</v>
      </c>
      <c r="W2" s="1">
        <f>E2/J2</f>
        <v>0.886845163044822</v>
      </c>
    </row>
    <row r="3" spans="1:23">
      <c r="A3" s="1" t="s">
        <v>20</v>
      </c>
      <c r="B3" s="1">
        <v>80016</v>
      </c>
      <c r="C3" s="1">
        <v>80016</v>
      </c>
      <c r="D3" s="1">
        <v>355034</v>
      </c>
      <c r="E3" s="1">
        <v>10.395</v>
      </c>
      <c r="F3" s="1">
        <v>13.636</v>
      </c>
      <c r="G3" s="1">
        <v>9.597</v>
      </c>
      <c r="H3" s="1">
        <v>13.713</v>
      </c>
      <c r="I3" s="1">
        <v>9.774</v>
      </c>
      <c r="J3" s="1">
        <v>9.805</v>
      </c>
      <c r="K3" s="1">
        <v>355034</v>
      </c>
      <c r="L3" s="1">
        <v>355048</v>
      </c>
      <c r="M3" s="2">
        <f t="shared" ref="M3:M66" si="0">L3/K3</f>
        <v>1.00003943284305</v>
      </c>
      <c r="N3" s="1">
        <v>670072</v>
      </c>
      <c r="O3" s="2">
        <f t="shared" ref="O3:O66" si="1">N3/K3</f>
        <v>1.88734600066473</v>
      </c>
      <c r="P3" s="1">
        <v>235040</v>
      </c>
      <c r="Q3" s="2">
        <f t="shared" ref="Q3:Q8" si="2">P3/K3</f>
        <v>0.662021102204296</v>
      </c>
      <c r="S3" s="1">
        <f>E3/F3</f>
        <v>0.762320328542094</v>
      </c>
      <c r="T3" s="1">
        <f t="shared" ref="T3:T66" si="3">E3/G3</f>
        <v>1.08315098468271</v>
      </c>
      <c r="U3" s="1">
        <f t="shared" ref="U3:U18" si="4">E3/H3</f>
        <v>0.758039816232772</v>
      </c>
      <c r="V3" s="1">
        <f t="shared" ref="V3:V66" si="5">E3/I3</f>
        <v>1.06353591160221</v>
      </c>
      <c r="W3" s="1">
        <f t="shared" ref="W3:W66" si="6">E3/J3</f>
        <v>1.0601733809281</v>
      </c>
    </row>
    <row r="4" spans="1:23">
      <c r="A4" s="1" t="s">
        <v>21</v>
      </c>
      <c r="B4" s="1">
        <v>80016</v>
      </c>
      <c r="C4" s="1">
        <v>80016</v>
      </c>
      <c r="D4" s="1">
        <v>347222</v>
      </c>
      <c r="E4" s="1">
        <v>10.253</v>
      </c>
      <c r="F4" s="1">
        <v>13.243</v>
      </c>
      <c r="G4" s="1">
        <v>9.526</v>
      </c>
      <c r="H4" s="1">
        <v>13.658</v>
      </c>
      <c r="I4" s="1">
        <v>9.851</v>
      </c>
      <c r="J4" s="1">
        <v>9.459</v>
      </c>
      <c r="K4" s="1">
        <v>347222</v>
      </c>
      <c r="L4" s="1">
        <v>349208</v>
      </c>
      <c r="M4" s="2">
        <f t="shared" si="0"/>
        <v>1.0057196836606</v>
      </c>
      <c r="N4" s="1">
        <v>657308</v>
      </c>
      <c r="O4" s="2">
        <f t="shared" si="1"/>
        <v>1.89304825155088</v>
      </c>
      <c r="P4" s="1">
        <v>233654</v>
      </c>
      <c r="Q4" s="2">
        <f t="shared" si="2"/>
        <v>0.672923950671328</v>
      </c>
      <c r="S4" s="1">
        <f t="shared" ref="S3:S8" si="7">E4/F4</f>
        <v>0.774220342822623</v>
      </c>
      <c r="T4" s="1">
        <f t="shared" si="3"/>
        <v>1.07631744698719</v>
      </c>
      <c r="U4" s="1">
        <f t="shared" si="4"/>
        <v>0.750695563039977</v>
      </c>
      <c r="V4" s="1">
        <f t="shared" si="5"/>
        <v>1.04080803979291</v>
      </c>
      <c r="W4" s="1">
        <f t="shared" si="6"/>
        <v>1.08394122000211</v>
      </c>
    </row>
    <row r="5" spans="1:23">
      <c r="A5" s="1" t="s">
        <v>22</v>
      </c>
      <c r="B5" s="1">
        <v>60008</v>
      </c>
      <c r="C5" s="1">
        <v>60008</v>
      </c>
      <c r="D5" s="1">
        <v>255004</v>
      </c>
      <c r="E5" s="1">
        <v>6.792</v>
      </c>
      <c r="F5" s="1">
        <v>9.495</v>
      </c>
      <c r="G5" s="1">
        <v>6.81</v>
      </c>
      <c r="H5" s="1">
        <v>9.674</v>
      </c>
      <c r="I5" s="1">
        <v>5.472</v>
      </c>
      <c r="J5" s="1">
        <v>6.503</v>
      </c>
      <c r="K5" s="1">
        <v>255004</v>
      </c>
      <c r="L5" s="1">
        <v>260002</v>
      </c>
      <c r="M5" s="2">
        <f t="shared" si="0"/>
        <v>1.01959969255384</v>
      </c>
      <c r="N5" s="1">
        <v>485020</v>
      </c>
      <c r="O5" s="2">
        <f t="shared" si="1"/>
        <v>1.90200938024502</v>
      </c>
      <c r="P5" s="1">
        <v>170018</v>
      </c>
      <c r="Q5" s="2">
        <f t="shared" si="2"/>
        <v>0.666726796442409</v>
      </c>
      <c r="S5" s="1">
        <f t="shared" si="7"/>
        <v>0.715323854660348</v>
      </c>
      <c r="T5" s="1">
        <f t="shared" si="3"/>
        <v>0.997356828193833</v>
      </c>
      <c r="U5" s="1">
        <f t="shared" si="4"/>
        <v>0.702088071118462</v>
      </c>
      <c r="V5" s="1">
        <f t="shared" si="5"/>
        <v>1.24122807017544</v>
      </c>
      <c r="W5" s="1">
        <f t="shared" si="6"/>
        <v>1.04444102721821</v>
      </c>
    </row>
    <row r="6" spans="1:23">
      <c r="A6" s="1" t="s">
        <v>23</v>
      </c>
      <c r="B6" s="1">
        <v>69999</v>
      </c>
      <c r="C6" s="1">
        <v>69999</v>
      </c>
      <c r="D6" s="1">
        <v>238627</v>
      </c>
      <c r="E6" s="1">
        <v>8.838</v>
      </c>
      <c r="F6" s="1">
        <v>10.19</v>
      </c>
      <c r="G6" s="1">
        <v>5.534</v>
      </c>
      <c r="H6" s="1">
        <v>9.765</v>
      </c>
      <c r="I6" s="1">
        <v>10.157</v>
      </c>
      <c r="J6" s="1">
        <v>8.464</v>
      </c>
      <c r="K6" s="1">
        <v>238627</v>
      </c>
      <c r="L6" s="1">
        <v>239396</v>
      </c>
      <c r="M6" s="2">
        <f t="shared" si="0"/>
        <v>1.00322260263927</v>
      </c>
      <c r="N6" s="1">
        <v>391068</v>
      </c>
      <c r="O6" s="2">
        <f t="shared" si="1"/>
        <v>1.63882544724612</v>
      </c>
      <c r="P6" s="1">
        <v>209734</v>
      </c>
      <c r="Q6" s="2">
        <f t="shared" si="2"/>
        <v>0.878919820472956</v>
      </c>
      <c r="S6" s="1">
        <f t="shared" si="7"/>
        <v>0.867320902845927</v>
      </c>
      <c r="T6" s="1">
        <f t="shared" si="3"/>
        <v>1.59703650162631</v>
      </c>
      <c r="U6" s="1">
        <f t="shared" si="4"/>
        <v>0.905069124423963</v>
      </c>
      <c r="V6" s="1">
        <f t="shared" si="5"/>
        <v>0.870138820517869</v>
      </c>
      <c r="W6" s="1">
        <f t="shared" si="6"/>
        <v>1.04418714555766</v>
      </c>
    </row>
    <row r="7" spans="1:23">
      <c r="A7" s="1" t="s">
        <v>24</v>
      </c>
      <c r="B7" s="1">
        <v>503625</v>
      </c>
      <c r="C7" s="1">
        <v>503625</v>
      </c>
      <c r="D7" s="1">
        <v>17550675</v>
      </c>
      <c r="E7" s="1">
        <v>422.901</v>
      </c>
      <c r="F7" s="1">
        <v>354.505</v>
      </c>
      <c r="G7" s="1">
        <v>393.368</v>
      </c>
      <c r="H7" s="1">
        <v>323.761</v>
      </c>
      <c r="I7" s="1">
        <v>215.339</v>
      </c>
      <c r="J7" s="1">
        <v>229.225</v>
      </c>
      <c r="K7" s="1">
        <v>17550675</v>
      </c>
      <c r="L7" s="1">
        <v>17550920</v>
      </c>
      <c r="M7" s="2">
        <f t="shared" si="0"/>
        <v>1.00001395957705</v>
      </c>
      <c r="N7" s="1">
        <v>19048020</v>
      </c>
      <c r="O7" s="2">
        <f t="shared" si="1"/>
        <v>1.08531552205257</v>
      </c>
      <c r="P7" s="1">
        <v>9329154</v>
      </c>
      <c r="Q7" s="2">
        <f t="shared" si="2"/>
        <v>0.531555282061801</v>
      </c>
      <c r="S7" s="1">
        <f t="shared" si="7"/>
        <v>1.19293380911412</v>
      </c>
      <c r="T7" s="1">
        <f t="shared" si="3"/>
        <v>1.07507728132436</v>
      </c>
      <c r="U7" s="1">
        <f t="shared" si="4"/>
        <v>1.30621353405753</v>
      </c>
      <c r="V7" s="1">
        <f t="shared" si="5"/>
        <v>1.96388485132744</v>
      </c>
      <c r="W7" s="1">
        <f t="shared" si="6"/>
        <v>1.84491656669211</v>
      </c>
    </row>
    <row r="8" spans="1:23">
      <c r="A8" s="1" t="s">
        <v>25</v>
      </c>
      <c r="B8" s="1">
        <v>503625</v>
      </c>
      <c r="C8" s="1">
        <v>503625</v>
      </c>
      <c r="D8" s="1">
        <v>17550675</v>
      </c>
      <c r="E8" s="1">
        <v>447.875</v>
      </c>
      <c r="F8" s="1">
        <v>382.228</v>
      </c>
      <c r="G8" s="1">
        <v>400.435</v>
      </c>
      <c r="H8" s="1">
        <v>345.012</v>
      </c>
      <c r="I8" s="1">
        <v>223.505</v>
      </c>
      <c r="J8" s="1">
        <v>232.876</v>
      </c>
      <c r="K8" s="1">
        <v>17550675</v>
      </c>
      <c r="L8" s="1">
        <v>17550920</v>
      </c>
      <c r="M8" s="2">
        <f t="shared" si="0"/>
        <v>1.00001395957705</v>
      </c>
      <c r="N8" s="1">
        <v>19048020</v>
      </c>
      <c r="O8" s="2">
        <f t="shared" si="1"/>
        <v>1.08531552205257</v>
      </c>
      <c r="P8" s="1">
        <v>9329154</v>
      </c>
      <c r="Q8" s="2">
        <f t="shared" si="2"/>
        <v>0.531555282061801</v>
      </c>
      <c r="S8" s="1">
        <f t="shared" si="7"/>
        <v>1.17174827589816</v>
      </c>
      <c r="T8" s="1">
        <f t="shared" si="3"/>
        <v>1.11847116261066</v>
      </c>
      <c r="U8" s="1">
        <f t="shared" si="4"/>
        <v>1.2981432529883</v>
      </c>
      <c r="V8" s="1">
        <f t="shared" si="5"/>
        <v>2.00387015950426</v>
      </c>
      <c r="W8" s="1">
        <f t="shared" si="6"/>
        <v>1.92323382400934</v>
      </c>
    </row>
    <row r="9" spans="1:23">
      <c r="A9" s="1" t="s">
        <v>26</v>
      </c>
      <c r="B9" s="1">
        <v>503625</v>
      </c>
      <c r="C9" s="1">
        <v>503625</v>
      </c>
      <c r="D9" s="1">
        <v>17550675</v>
      </c>
      <c r="E9" s="1">
        <v>423.083</v>
      </c>
      <c r="F9" s="1">
        <v>355.59</v>
      </c>
      <c r="G9" s="1">
        <v>376.988</v>
      </c>
      <c r="H9" s="1">
        <v>322.959</v>
      </c>
      <c r="I9" s="1">
        <v>214.907</v>
      </c>
      <c r="J9" s="1">
        <v>227.267</v>
      </c>
      <c r="K9" s="1">
        <v>17550675</v>
      </c>
      <c r="L9" s="1">
        <v>17550920</v>
      </c>
      <c r="M9" s="2">
        <f t="shared" si="0"/>
        <v>1.00001395957705</v>
      </c>
      <c r="N9" s="1">
        <v>19048020</v>
      </c>
      <c r="O9" s="2">
        <f t="shared" si="1"/>
        <v>1.08531552205257</v>
      </c>
      <c r="P9" s="1">
        <v>9329154</v>
      </c>
      <c r="Q9" s="2">
        <f t="shared" ref="Q9:Q14" si="8">P9/K9</f>
        <v>0.531555282061801</v>
      </c>
      <c r="S9" s="1">
        <f t="shared" ref="S9:S72" si="9">E9/F9</f>
        <v>1.18980567507523</v>
      </c>
      <c r="T9" s="1">
        <f t="shared" si="3"/>
        <v>1.12227179644975</v>
      </c>
      <c r="U9" s="1">
        <f t="shared" si="4"/>
        <v>1.31002077663109</v>
      </c>
      <c r="V9" s="1">
        <f t="shared" si="5"/>
        <v>1.96867947530792</v>
      </c>
      <c r="W9" s="1">
        <f t="shared" si="6"/>
        <v>1.86161211262524</v>
      </c>
    </row>
    <row r="10" spans="1:23">
      <c r="A10" s="1" t="s">
        <v>27</v>
      </c>
      <c r="B10" s="1">
        <v>503625</v>
      </c>
      <c r="C10" s="1">
        <v>503625</v>
      </c>
      <c r="D10" s="1">
        <v>17550675</v>
      </c>
      <c r="E10" s="1">
        <v>444.713</v>
      </c>
      <c r="F10" s="1">
        <v>375.953</v>
      </c>
      <c r="G10" s="1">
        <v>397.97</v>
      </c>
      <c r="H10" s="1">
        <v>341.127</v>
      </c>
      <c r="I10" s="1">
        <v>226.421</v>
      </c>
      <c r="J10" s="1">
        <v>232.208</v>
      </c>
      <c r="K10" s="1">
        <v>17550675</v>
      </c>
      <c r="L10" s="1">
        <v>17550920</v>
      </c>
      <c r="M10" s="2">
        <f t="shared" si="0"/>
        <v>1.00001395957705</v>
      </c>
      <c r="N10" s="1">
        <v>19048020</v>
      </c>
      <c r="O10" s="2">
        <f t="shared" si="1"/>
        <v>1.08531552205257</v>
      </c>
      <c r="P10" s="1">
        <v>9329154</v>
      </c>
      <c r="Q10" s="2">
        <f t="shared" si="8"/>
        <v>0.531555282061801</v>
      </c>
      <c r="S10" s="1">
        <f t="shared" si="9"/>
        <v>1.18289520232582</v>
      </c>
      <c r="T10" s="1">
        <f t="shared" si="3"/>
        <v>1.11745357690278</v>
      </c>
      <c r="U10" s="1">
        <f t="shared" si="4"/>
        <v>1.30365816836545</v>
      </c>
      <c r="V10" s="1">
        <f t="shared" si="5"/>
        <v>1.96409785311433</v>
      </c>
      <c r="W10" s="1">
        <f t="shared" si="6"/>
        <v>1.91514934885964</v>
      </c>
    </row>
    <row r="11" spans="1:23">
      <c r="A11" s="1" t="s">
        <v>28</v>
      </c>
      <c r="B11" s="1">
        <v>503625</v>
      </c>
      <c r="C11" s="1">
        <v>503625</v>
      </c>
      <c r="D11" s="1">
        <v>17550675</v>
      </c>
      <c r="E11" s="1">
        <v>445.05</v>
      </c>
      <c r="F11" s="1">
        <v>371.843</v>
      </c>
      <c r="G11" s="1">
        <v>396.824</v>
      </c>
      <c r="H11" s="1">
        <v>341.173</v>
      </c>
      <c r="I11" s="1">
        <v>224.893</v>
      </c>
      <c r="J11" s="1">
        <v>233.632</v>
      </c>
      <c r="K11" s="1">
        <v>17550675</v>
      </c>
      <c r="L11" s="1">
        <v>17550920</v>
      </c>
      <c r="M11" s="2">
        <f t="shared" si="0"/>
        <v>1.00001395957705</v>
      </c>
      <c r="N11" s="1">
        <v>19048020</v>
      </c>
      <c r="O11" s="2">
        <f t="shared" si="1"/>
        <v>1.08531552205257</v>
      </c>
      <c r="P11" s="1">
        <v>9329154</v>
      </c>
      <c r="Q11" s="2">
        <f t="shared" si="8"/>
        <v>0.531555282061801</v>
      </c>
      <c r="S11" s="1">
        <f t="shared" si="9"/>
        <v>1.19687610093507</v>
      </c>
      <c r="T11" s="1">
        <f t="shared" si="3"/>
        <v>1.12152994778542</v>
      </c>
      <c r="U11" s="1">
        <f t="shared" si="4"/>
        <v>1.30447016616204</v>
      </c>
      <c r="V11" s="1">
        <f t="shared" si="5"/>
        <v>1.97894109643253</v>
      </c>
      <c r="W11" s="1">
        <f t="shared" si="6"/>
        <v>1.90491884673332</v>
      </c>
    </row>
    <row r="12" spans="1:23">
      <c r="A12" s="1" t="s">
        <v>29</v>
      </c>
      <c r="B12" s="1">
        <v>503625</v>
      </c>
      <c r="C12" s="1">
        <v>503625</v>
      </c>
      <c r="D12" s="1">
        <v>17550675</v>
      </c>
      <c r="E12" s="1">
        <v>423.47</v>
      </c>
      <c r="F12" s="1">
        <v>358.779</v>
      </c>
      <c r="G12" s="1">
        <v>381.797</v>
      </c>
      <c r="H12" s="1">
        <v>323.683</v>
      </c>
      <c r="I12" s="1">
        <v>220.645</v>
      </c>
      <c r="J12" s="1">
        <v>231.284</v>
      </c>
      <c r="K12" s="1">
        <v>17550675</v>
      </c>
      <c r="L12" s="1">
        <v>17550920</v>
      </c>
      <c r="M12" s="2">
        <f t="shared" si="0"/>
        <v>1.00001395957705</v>
      </c>
      <c r="N12" s="1">
        <v>19048020</v>
      </c>
      <c r="O12" s="2">
        <f t="shared" si="1"/>
        <v>1.08531552205257</v>
      </c>
      <c r="P12" s="1">
        <v>9329154</v>
      </c>
      <c r="Q12" s="2">
        <f t="shared" si="8"/>
        <v>0.531555282061801</v>
      </c>
      <c r="S12" s="1">
        <f t="shared" si="9"/>
        <v>1.18030876946533</v>
      </c>
      <c r="T12" s="1">
        <f t="shared" si="3"/>
        <v>1.10914962663405</v>
      </c>
      <c r="U12" s="1">
        <f t="shared" si="4"/>
        <v>1.30828619359064</v>
      </c>
      <c r="V12" s="1">
        <f t="shared" si="5"/>
        <v>1.91923678306782</v>
      </c>
      <c r="W12" s="1">
        <f t="shared" si="6"/>
        <v>1.83095242213037</v>
      </c>
    </row>
    <row r="13" spans="1:23">
      <c r="A13" s="1" t="s">
        <v>30</v>
      </c>
      <c r="B13" s="1">
        <v>504855</v>
      </c>
      <c r="C13" s="1">
        <v>504855</v>
      </c>
      <c r="D13" s="1">
        <v>17588875</v>
      </c>
      <c r="E13" s="1">
        <v>448.852</v>
      </c>
      <c r="F13" s="1">
        <v>375.635</v>
      </c>
      <c r="G13" s="1">
        <v>404.16</v>
      </c>
      <c r="H13" s="1">
        <v>343.189</v>
      </c>
      <c r="I13" s="1">
        <v>232.732</v>
      </c>
      <c r="J13" s="1">
        <v>233.351</v>
      </c>
      <c r="K13" s="1">
        <v>17588875</v>
      </c>
      <c r="L13" s="1">
        <v>17592940</v>
      </c>
      <c r="M13" s="2">
        <f t="shared" si="0"/>
        <v>1.00023111199551</v>
      </c>
      <c r="N13" s="1">
        <v>19089280</v>
      </c>
      <c r="O13" s="2">
        <f t="shared" si="1"/>
        <v>1.08530420507281</v>
      </c>
      <c r="P13" s="1">
        <v>9303212</v>
      </c>
      <c r="Q13" s="2">
        <f t="shared" si="8"/>
        <v>0.528925926189139</v>
      </c>
      <c r="S13" s="1">
        <f t="shared" si="9"/>
        <v>1.19491527679796</v>
      </c>
      <c r="T13" s="1">
        <f t="shared" si="3"/>
        <v>1.11057996832937</v>
      </c>
      <c r="U13" s="1">
        <f t="shared" si="4"/>
        <v>1.30788574225864</v>
      </c>
      <c r="V13" s="1">
        <f t="shared" si="5"/>
        <v>1.92862176237045</v>
      </c>
      <c r="W13" s="1">
        <f t="shared" si="6"/>
        <v>1.92350579170434</v>
      </c>
    </row>
    <row r="14" spans="1:23">
      <c r="A14" s="1" t="s">
        <v>31</v>
      </c>
      <c r="B14" s="1">
        <v>1508065</v>
      </c>
      <c r="C14" s="1">
        <v>1508065</v>
      </c>
      <c r="D14" s="1">
        <v>52672325</v>
      </c>
      <c r="E14" s="1">
        <v>1340.09</v>
      </c>
      <c r="F14" s="1">
        <v>1134.39</v>
      </c>
      <c r="G14" s="1">
        <v>1209.7</v>
      </c>
      <c r="H14" s="1">
        <v>1022.09</v>
      </c>
      <c r="I14" s="1">
        <v>707.6</v>
      </c>
      <c r="J14" s="1">
        <v>703.087</v>
      </c>
      <c r="K14" s="1">
        <v>52672325</v>
      </c>
      <c r="L14" s="1">
        <v>52672500</v>
      </c>
      <c r="M14" s="2">
        <f t="shared" si="0"/>
        <v>1.00000332242786</v>
      </c>
      <c r="N14" s="1">
        <v>57179790</v>
      </c>
      <c r="O14" s="2">
        <f t="shared" si="1"/>
        <v>1.08557558452185</v>
      </c>
      <c r="P14" s="1">
        <v>27844644</v>
      </c>
      <c r="Q14" s="2">
        <f t="shared" si="8"/>
        <v>0.528638976920043</v>
      </c>
      <c r="S14" s="1">
        <f t="shared" si="9"/>
        <v>1.1813309355689</v>
      </c>
      <c r="T14" s="1">
        <f t="shared" si="3"/>
        <v>1.10778705464165</v>
      </c>
      <c r="U14" s="1">
        <f t="shared" si="4"/>
        <v>1.31112720014871</v>
      </c>
      <c r="V14" s="1">
        <f t="shared" si="5"/>
        <v>1.89385245901639</v>
      </c>
      <c r="W14" s="1">
        <f t="shared" si="6"/>
        <v>1.90600878696378</v>
      </c>
    </row>
    <row r="15" spans="1:23">
      <c r="A15" s="1" t="s">
        <v>32</v>
      </c>
      <c r="B15" s="1">
        <v>504855</v>
      </c>
      <c r="C15" s="1">
        <v>504855</v>
      </c>
      <c r="D15" s="1">
        <v>17588875</v>
      </c>
      <c r="E15" s="1">
        <v>449.759</v>
      </c>
      <c r="F15" s="1">
        <v>382.589</v>
      </c>
      <c r="G15" s="1">
        <v>403.941</v>
      </c>
      <c r="H15" s="1">
        <v>342.592</v>
      </c>
      <c r="I15" s="1">
        <v>237.472</v>
      </c>
      <c r="J15" s="1">
        <v>234.234</v>
      </c>
      <c r="K15" s="1">
        <v>17588875</v>
      </c>
      <c r="L15" s="1">
        <v>17592940</v>
      </c>
      <c r="M15" s="2">
        <f t="shared" si="0"/>
        <v>1.00023111199551</v>
      </c>
      <c r="N15" s="1">
        <v>19089280</v>
      </c>
      <c r="O15" s="2">
        <f t="shared" si="1"/>
        <v>1.08530420507281</v>
      </c>
      <c r="P15" s="1">
        <v>9303212</v>
      </c>
      <c r="Q15" s="2">
        <f t="shared" ref="Q15:Q78" si="10">P15/K15</f>
        <v>0.528925926189139</v>
      </c>
      <c r="S15" s="1">
        <f t="shared" si="9"/>
        <v>1.1755669922554</v>
      </c>
      <c r="T15" s="1">
        <f t="shared" si="3"/>
        <v>1.11342745598986</v>
      </c>
      <c r="U15" s="1">
        <f t="shared" si="4"/>
        <v>1.31281232486456</v>
      </c>
      <c r="V15" s="1">
        <f t="shared" si="5"/>
        <v>1.89394539145668</v>
      </c>
      <c r="W15" s="1">
        <f t="shared" si="6"/>
        <v>1.92012688166534</v>
      </c>
    </row>
    <row r="16" spans="1:23">
      <c r="A16" s="1" t="s">
        <v>33</v>
      </c>
      <c r="B16" s="1">
        <v>504855</v>
      </c>
      <c r="C16" s="1">
        <v>504855</v>
      </c>
      <c r="D16" s="1">
        <v>17588875</v>
      </c>
      <c r="E16" s="1">
        <v>422.923</v>
      </c>
      <c r="F16" s="1">
        <v>351.723</v>
      </c>
      <c r="G16" s="1">
        <v>378.211</v>
      </c>
      <c r="H16" s="1">
        <v>324.663</v>
      </c>
      <c r="I16" s="1">
        <v>221.736</v>
      </c>
      <c r="J16" s="1">
        <v>230.156</v>
      </c>
      <c r="K16" s="1">
        <v>17588875</v>
      </c>
      <c r="L16" s="1">
        <v>17592940</v>
      </c>
      <c r="M16" s="2">
        <f t="shared" si="0"/>
        <v>1.00023111199551</v>
      </c>
      <c r="N16" s="1">
        <v>19089280</v>
      </c>
      <c r="O16" s="2">
        <f t="shared" si="1"/>
        <v>1.08530420507281</v>
      </c>
      <c r="P16" s="1">
        <v>9303212</v>
      </c>
      <c r="Q16" s="2">
        <f t="shared" si="10"/>
        <v>0.528925926189139</v>
      </c>
      <c r="S16" s="1">
        <f t="shared" si="9"/>
        <v>1.20243202747617</v>
      </c>
      <c r="T16" s="1">
        <f t="shared" si="3"/>
        <v>1.11821972391073</v>
      </c>
      <c r="U16" s="1">
        <f t="shared" si="4"/>
        <v>1.30265228868088</v>
      </c>
      <c r="V16" s="1">
        <f t="shared" si="5"/>
        <v>1.90732673088718</v>
      </c>
      <c r="W16" s="1">
        <f t="shared" si="6"/>
        <v>1.83754931437807</v>
      </c>
    </row>
    <row r="17" spans="1:23">
      <c r="A17" s="1" t="s">
        <v>34</v>
      </c>
      <c r="B17" s="1">
        <v>504855</v>
      </c>
      <c r="C17" s="1">
        <v>504855</v>
      </c>
      <c r="D17" s="1">
        <v>17588875</v>
      </c>
      <c r="E17" s="1">
        <v>448.608</v>
      </c>
      <c r="F17" s="1">
        <v>380.763</v>
      </c>
      <c r="G17" s="1">
        <v>401.961</v>
      </c>
      <c r="H17" s="1">
        <v>342.578</v>
      </c>
      <c r="I17" s="1">
        <v>233.581</v>
      </c>
      <c r="J17" s="1">
        <v>232.916</v>
      </c>
      <c r="K17" s="1">
        <v>17588875</v>
      </c>
      <c r="L17" s="1">
        <v>17592940</v>
      </c>
      <c r="M17" s="2">
        <f t="shared" si="0"/>
        <v>1.00023111199551</v>
      </c>
      <c r="N17" s="1">
        <v>19089280</v>
      </c>
      <c r="O17" s="2">
        <f t="shared" si="1"/>
        <v>1.08530420507281</v>
      </c>
      <c r="P17" s="1">
        <v>9303212</v>
      </c>
      <c r="Q17" s="2">
        <f t="shared" si="10"/>
        <v>0.528925926189139</v>
      </c>
      <c r="S17" s="1">
        <f t="shared" si="9"/>
        <v>1.17818170357939</v>
      </c>
      <c r="T17" s="1">
        <f t="shared" si="3"/>
        <v>1.11604857187638</v>
      </c>
      <c r="U17" s="1">
        <f t="shared" si="4"/>
        <v>1.30950615626222</v>
      </c>
      <c r="V17" s="1">
        <f t="shared" si="5"/>
        <v>1.92056716941875</v>
      </c>
      <c r="W17" s="1">
        <f t="shared" si="6"/>
        <v>1.92605059334696</v>
      </c>
    </row>
    <row r="18" spans="1:23">
      <c r="A18" s="1" t="s">
        <v>35</v>
      </c>
      <c r="B18" s="1">
        <v>504855</v>
      </c>
      <c r="C18" s="1">
        <v>504855</v>
      </c>
      <c r="D18" s="1">
        <v>17588875</v>
      </c>
      <c r="E18" s="1">
        <v>447.846</v>
      </c>
      <c r="F18" s="1">
        <v>379.548</v>
      </c>
      <c r="G18" s="1">
        <v>401.845</v>
      </c>
      <c r="H18" s="1">
        <v>342.062</v>
      </c>
      <c r="I18" s="1">
        <v>231.682</v>
      </c>
      <c r="J18" s="1">
        <v>232.957</v>
      </c>
      <c r="K18" s="1">
        <v>17588875</v>
      </c>
      <c r="L18" s="1">
        <v>17592940</v>
      </c>
      <c r="M18" s="2">
        <f t="shared" si="0"/>
        <v>1.00023111199551</v>
      </c>
      <c r="N18" s="1">
        <v>19089280</v>
      </c>
      <c r="O18" s="2">
        <f t="shared" si="1"/>
        <v>1.08530420507281</v>
      </c>
      <c r="P18" s="1">
        <v>9303212</v>
      </c>
      <c r="Q18" s="2">
        <f t="shared" si="10"/>
        <v>0.528925926189139</v>
      </c>
      <c r="S18" s="1">
        <f t="shared" si="9"/>
        <v>1.17994561952638</v>
      </c>
      <c r="T18" s="1">
        <f t="shared" si="3"/>
        <v>1.11447448643134</v>
      </c>
      <c r="U18" s="1">
        <f t="shared" si="4"/>
        <v>1.30925387795195</v>
      </c>
      <c r="V18" s="1">
        <f t="shared" si="5"/>
        <v>1.93302026052952</v>
      </c>
      <c r="W18" s="1">
        <f t="shared" si="6"/>
        <v>1.92244062208906</v>
      </c>
    </row>
    <row r="19" spans="1:23">
      <c r="A19" s="1" t="s">
        <v>36</v>
      </c>
      <c r="B19" s="1">
        <v>504855</v>
      </c>
      <c r="C19" s="1">
        <v>504855</v>
      </c>
      <c r="D19" s="1">
        <v>17588875</v>
      </c>
      <c r="E19" s="1">
        <v>449.336</v>
      </c>
      <c r="F19" s="1">
        <v>384.158</v>
      </c>
      <c r="G19" s="1">
        <v>401.96</v>
      </c>
      <c r="H19" s="1">
        <v>342.184</v>
      </c>
      <c r="I19" s="1">
        <v>228.914</v>
      </c>
      <c r="J19" s="1">
        <v>227.768</v>
      </c>
      <c r="K19" s="1">
        <v>17588875</v>
      </c>
      <c r="L19" s="1">
        <v>17592940</v>
      </c>
      <c r="M19" s="2">
        <f t="shared" si="0"/>
        <v>1.00023111199551</v>
      </c>
      <c r="N19" s="1">
        <v>19089280</v>
      </c>
      <c r="O19" s="2">
        <f t="shared" si="1"/>
        <v>1.08530420507281</v>
      </c>
      <c r="P19" s="1">
        <v>9303212</v>
      </c>
      <c r="Q19" s="2">
        <f t="shared" si="10"/>
        <v>0.528925926189139</v>
      </c>
      <c r="S19" s="1">
        <f t="shared" si="9"/>
        <v>1.16966456510082</v>
      </c>
      <c r="T19" s="1">
        <f t="shared" si="3"/>
        <v>1.117862473878</v>
      </c>
      <c r="U19" s="1">
        <f t="shared" ref="U19:U82" si="11">E19/H19</f>
        <v>1.31314146774835</v>
      </c>
      <c r="V19" s="1">
        <f t="shared" si="5"/>
        <v>1.9629030989804</v>
      </c>
      <c r="W19" s="1">
        <f t="shared" si="6"/>
        <v>1.97277931930737</v>
      </c>
    </row>
    <row r="20" spans="1:23">
      <c r="A20" s="1" t="s">
        <v>37</v>
      </c>
      <c r="B20" s="1">
        <v>504855</v>
      </c>
      <c r="C20" s="1">
        <v>504855</v>
      </c>
      <c r="D20" s="1">
        <v>17588875</v>
      </c>
      <c r="E20" s="1">
        <v>448.524</v>
      </c>
      <c r="F20" s="1">
        <v>381.463</v>
      </c>
      <c r="G20" s="1">
        <v>587.283</v>
      </c>
      <c r="H20" s="1">
        <v>315.067</v>
      </c>
      <c r="I20" s="1">
        <v>238.025</v>
      </c>
      <c r="J20" s="1">
        <v>233.525</v>
      </c>
      <c r="K20" s="1">
        <v>17588875</v>
      </c>
      <c r="L20" s="1">
        <v>17592940</v>
      </c>
      <c r="M20" s="2">
        <f t="shared" si="0"/>
        <v>1.00023111199551</v>
      </c>
      <c r="N20" s="1">
        <v>19089280</v>
      </c>
      <c r="O20" s="2">
        <f t="shared" si="1"/>
        <v>1.08530420507281</v>
      </c>
      <c r="P20" s="1">
        <v>9303212</v>
      </c>
      <c r="Q20" s="2">
        <f t="shared" si="10"/>
        <v>0.528925926189139</v>
      </c>
      <c r="S20" s="1">
        <f t="shared" si="9"/>
        <v>1.17579948776159</v>
      </c>
      <c r="T20" s="1">
        <f t="shared" si="3"/>
        <v>0.763727197960779</v>
      </c>
      <c r="U20" s="1">
        <f t="shared" si="11"/>
        <v>1.42358292045819</v>
      </c>
      <c r="V20" s="1">
        <f t="shared" si="5"/>
        <v>1.88435668522214</v>
      </c>
      <c r="W20" s="1">
        <f t="shared" si="6"/>
        <v>1.92066802269564</v>
      </c>
    </row>
    <row r="21" spans="1:23">
      <c r="A21" s="1" t="s">
        <v>38</v>
      </c>
      <c r="B21" s="1">
        <v>504855</v>
      </c>
      <c r="C21" s="1">
        <v>504855</v>
      </c>
      <c r="D21" s="1">
        <v>17588875</v>
      </c>
      <c r="E21" s="1">
        <v>700.142</v>
      </c>
      <c r="F21" s="1">
        <v>497.275</v>
      </c>
      <c r="G21" s="1">
        <v>414.777</v>
      </c>
      <c r="H21" s="1">
        <v>344.356</v>
      </c>
      <c r="I21" s="1">
        <v>236.356</v>
      </c>
      <c r="J21" s="1">
        <v>267.811</v>
      </c>
      <c r="K21" s="1">
        <v>17588875</v>
      </c>
      <c r="L21" s="1">
        <v>17592940</v>
      </c>
      <c r="M21" s="2">
        <f t="shared" si="0"/>
        <v>1.00023111199551</v>
      </c>
      <c r="N21" s="1">
        <v>19089280</v>
      </c>
      <c r="O21" s="2">
        <f t="shared" si="1"/>
        <v>1.08530420507281</v>
      </c>
      <c r="P21" s="1">
        <v>9303212</v>
      </c>
      <c r="Q21" s="2">
        <f t="shared" si="10"/>
        <v>0.528925926189139</v>
      </c>
      <c r="S21" s="1">
        <f t="shared" si="9"/>
        <v>1.40795736765371</v>
      </c>
      <c r="T21" s="1">
        <f t="shared" si="3"/>
        <v>1.68799620036791</v>
      </c>
      <c r="U21" s="1">
        <f t="shared" si="11"/>
        <v>2.03319239391792</v>
      </c>
      <c r="V21" s="1">
        <f t="shared" si="5"/>
        <v>2.96223493374401</v>
      </c>
      <c r="W21" s="1">
        <f t="shared" si="6"/>
        <v>2.61431382579506</v>
      </c>
    </row>
    <row r="22" spans="1:23">
      <c r="A22" s="1" t="s">
        <v>39</v>
      </c>
      <c r="B22" s="1">
        <v>504855</v>
      </c>
      <c r="C22" s="1">
        <v>504855</v>
      </c>
      <c r="D22" s="1">
        <v>17588875</v>
      </c>
      <c r="E22" s="1">
        <v>449.205</v>
      </c>
      <c r="F22" s="1">
        <v>379.574</v>
      </c>
      <c r="G22" s="1">
        <v>402.907</v>
      </c>
      <c r="H22" s="1">
        <v>341.984</v>
      </c>
      <c r="I22" s="1">
        <v>232.851</v>
      </c>
      <c r="J22" s="1">
        <v>231.471</v>
      </c>
      <c r="K22" s="1">
        <v>17588875</v>
      </c>
      <c r="L22" s="1">
        <v>17592940</v>
      </c>
      <c r="M22" s="2">
        <f t="shared" si="0"/>
        <v>1.00023111199551</v>
      </c>
      <c r="N22" s="1">
        <v>19089280</v>
      </c>
      <c r="O22" s="2">
        <f t="shared" si="1"/>
        <v>1.08530420507281</v>
      </c>
      <c r="P22" s="1">
        <v>9303212</v>
      </c>
      <c r="Q22" s="2">
        <f t="shared" si="10"/>
        <v>0.528925926189139</v>
      </c>
      <c r="S22" s="1">
        <f t="shared" si="9"/>
        <v>1.18344512532471</v>
      </c>
      <c r="T22" s="1">
        <f t="shared" si="3"/>
        <v>1.11490989235729</v>
      </c>
      <c r="U22" s="1">
        <f t="shared" si="11"/>
        <v>1.31352636380649</v>
      </c>
      <c r="V22" s="1">
        <f t="shared" si="5"/>
        <v>1.92915211873687</v>
      </c>
      <c r="W22" s="1">
        <f t="shared" si="6"/>
        <v>1.94065347278925</v>
      </c>
    </row>
    <row r="23" spans="1:23">
      <c r="A23" s="1" t="s">
        <v>40</v>
      </c>
      <c r="B23" s="1">
        <v>8205</v>
      </c>
      <c r="C23" s="1">
        <v>8205</v>
      </c>
      <c r="D23" s="1">
        <v>125567</v>
      </c>
      <c r="E23" s="1">
        <v>2.208</v>
      </c>
      <c r="F23" s="1">
        <v>2.063</v>
      </c>
      <c r="G23" s="1">
        <v>1.884</v>
      </c>
      <c r="H23" s="1">
        <v>1.922</v>
      </c>
      <c r="I23" s="1">
        <v>1.512</v>
      </c>
      <c r="J23" s="1">
        <v>1.888</v>
      </c>
      <c r="K23" s="1">
        <v>125567</v>
      </c>
      <c r="L23" s="1">
        <v>125662</v>
      </c>
      <c r="M23" s="2">
        <f t="shared" si="0"/>
        <v>1.00075656820661</v>
      </c>
      <c r="N23" s="1">
        <v>154972</v>
      </c>
      <c r="O23" s="2">
        <f t="shared" si="1"/>
        <v>1.23417776963693</v>
      </c>
      <c r="P23" s="1">
        <v>74962</v>
      </c>
      <c r="Q23" s="2">
        <f t="shared" si="10"/>
        <v>0.596988062150087</v>
      </c>
      <c r="S23" s="1">
        <f t="shared" si="9"/>
        <v>1.07028599127484</v>
      </c>
      <c r="T23" s="1">
        <f t="shared" si="3"/>
        <v>1.17197452229299</v>
      </c>
      <c r="U23" s="1">
        <f t="shared" si="11"/>
        <v>1.14880332986472</v>
      </c>
      <c r="V23" s="1">
        <f t="shared" si="5"/>
        <v>1.46031746031746</v>
      </c>
      <c r="W23" s="1">
        <f t="shared" si="6"/>
        <v>1.16949152542373</v>
      </c>
    </row>
    <row r="24" spans="1:23">
      <c r="A24" s="1" t="s">
        <v>41</v>
      </c>
      <c r="B24" s="1">
        <v>303813</v>
      </c>
      <c r="C24" s="1">
        <v>303813</v>
      </c>
      <c r="D24" s="1">
        <v>2006126</v>
      </c>
      <c r="E24" s="1">
        <v>71.015</v>
      </c>
      <c r="F24" s="1">
        <v>61.358</v>
      </c>
      <c r="G24" s="1">
        <v>56.617</v>
      </c>
      <c r="H24" s="1">
        <v>106.912</v>
      </c>
      <c r="I24" s="1">
        <v>57.064</v>
      </c>
      <c r="J24" s="1">
        <v>70.901</v>
      </c>
      <c r="K24" s="1">
        <v>2006126</v>
      </c>
      <c r="L24" s="1">
        <v>2030690</v>
      </c>
      <c r="M24" s="2">
        <f t="shared" si="0"/>
        <v>1.01224449511147</v>
      </c>
      <c r="N24" s="1">
        <v>3459242</v>
      </c>
      <c r="O24" s="2">
        <f t="shared" si="1"/>
        <v>1.72433934857531</v>
      </c>
      <c r="P24" s="1">
        <v>1390466</v>
      </c>
      <c r="Q24" s="2">
        <f t="shared" si="10"/>
        <v>0.693110004057572</v>
      </c>
      <c r="S24" s="1">
        <f t="shared" si="9"/>
        <v>1.15738778969328</v>
      </c>
      <c r="T24" s="1">
        <f t="shared" si="3"/>
        <v>1.25430524400798</v>
      </c>
      <c r="U24" s="1">
        <f t="shared" si="11"/>
        <v>0.664237877880874</v>
      </c>
      <c r="V24" s="1">
        <f t="shared" si="5"/>
        <v>1.24447988223749</v>
      </c>
      <c r="W24" s="1">
        <f t="shared" si="6"/>
        <v>1.00160787577044</v>
      </c>
    </row>
    <row r="25" spans="1:23">
      <c r="A25" s="1" t="s">
        <v>42</v>
      </c>
      <c r="B25" s="1">
        <v>80800</v>
      </c>
      <c r="C25" s="1">
        <v>80800</v>
      </c>
      <c r="D25" s="1">
        <v>542184</v>
      </c>
      <c r="E25" s="1">
        <v>11.119</v>
      </c>
      <c r="F25" s="1">
        <v>12.054</v>
      </c>
      <c r="G25" s="1">
        <v>10.742</v>
      </c>
      <c r="H25" s="1">
        <v>14.714</v>
      </c>
      <c r="I25" s="1">
        <v>9.844</v>
      </c>
      <c r="J25" s="1">
        <v>10.056</v>
      </c>
      <c r="K25" s="1">
        <v>542184</v>
      </c>
      <c r="L25" s="1">
        <v>542258</v>
      </c>
      <c r="M25" s="2">
        <f t="shared" si="0"/>
        <v>1.00013648503091</v>
      </c>
      <c r="N25" s="1">
        <v>922768</v>
      </c>
      <c r="O25" s="2">
        <f t="shared" si="1"/>
        <v>1.70194620276511</v>
      </c>
      <c r="P25" s="1">
        <v>312392</v>
      </c>
      <c r="Q25" s="2">
        <f t="shared" si="10"/>
        <v>0.576173402387381</v>
      </c>
      <c r="S25" s="1">
        <f t="shared" si="9"/>
        <v>0.922432387589182</v>
      </c>
      <c r="T25" s="1">
        <f t="shared" si="3"/>
        <v>1.03509588531</v>
      </c>
      <c r="U25" s="1">
        <f t="shared" si="11"/>
        <v>0.755674867473155</v>
      </c>
      <c r="V25" s="1">
        <f t="shared" si="5"/>
        <v>1.12952052011378</v>
      </c>
      <c r="W25" s="1">
        <f t="shared" si="6"/>
        <v>1.10570803500398</v>
      </c>
    </row>
    <row r="26" spans="1:23">
      <c r="A26" s="1" t="s">
        <v>43</v>
      </c>
      <c r="B26" s="1">
        <v>715176</v>
      </c>
      <c r="C26" s="1">
        <v>715176</v>
      </c>
      <c r="D26" s="1">
        <v>4817870</v>
      </c>
      <c r="E26" s="1">
        <v>142.438</v>
      </c>
      <c r="F26" s="1">
        <v>144.859</v>
      </c>
      <c r="G26" s="1">
        <v>142.363</v>
      </c>
      <c r="H26" s="1">
        <v>174.671</v>
      </c>
      <c r="I26" s="1">
        <v>143.634</v>
      </c>
      <c r="J26" s="1">
        <v>120.543</v>
      </c>
      <c r="K26" s="1">
        <v>4817870</v>
      </c>
      <c r="L26" s="1">
        <v>4818458</v>
      </c>
      <c r="M26" s="2">
        <f t="shared" si="0"/>
        <v>1.00012204563427</v>
      </c>
      <c r="N26" s="1">
        <v>8205388</v>
      </c>
      <c r="O26" s="2">
        <f t="shared" si="1"/>
        <v>1.70311527708303</v>
      </c>
      <c r="P26" s="1">
        <v>2769200</v>
      </c>
      <c r="Q26" s="2">
        <f t="shared" si="10"/>
        <v>0.574776820462154</v>
      </c>
      <c r="S26" s="1">
        <f t="shared" si="9"/>
        <v>0.983287196515232</v>
      </c>
      <c r="T26" s="1">
        <f t="shared" si="3"/>
        <v>1.00052682227826</v>
      </c>
      <c r="U26" s="1">
        <f t="shared" si="11"/>
        <v>0.815464501834878</v>
      </c>
      <c r="V26" s="1">
        <f t="shared" si="5"/>
        <v>0.991673280699556</v>
      </c>
      <c r="W26" s="1">
        <f t="shared" si="6"/>
        <v>1.1816364284944</v>
      </c>
    </row>
    <row r="27" spans="1:23">
      <c r="A27" s="1" t="s">
        <v>44</v>
      </c>
      <c r="B27" s="1">
        <v>16706</v>
      </c>
      <c r="C27" s="1">
        <v>16706</v>
      </c>
      <c r="D27" s="1">
        <v>242502</v>
      </c>
      <c r="E27" s="1">
        <v>5.531</v>
      </c>
      <c r="F27" s="1">
        <v>5.626</v>
      </c>
      <c r="G27" s="1">
        <v>4.794</v>
      </c>
      <c r="H27" s="1">
        <v>5.925</v>
      </c>
      <c r="I27" s="1">
        <v>6.309</v>
      </c>
      <c r="J27" s="1">
        <v>5.684</v>
      </c>
      <c r="K27" s="1">
        <v>242502</v>
      </c>
      <c r="L27" s="1">
        <v>245026</v>
      </c>
      <c r="M27" s="2">
        <f t="shared" si="0"/>
        <v>1.01040816158217</v>
      </c>
      <c r="N27" s="1">
        <v>375684</v>
      </c>
      <c r="O27" s="2">
        <f t="shared" si="1"/>
        <v>1.54919959423015</v>
      </c>
      <c r="P27" s="1">
        <v>186510</v>
      </c>
      <c r="Q27" s="2">
        <f t="shared" si="10"/>
        <v>0.769107058910854</v>
      </c>
      <c r="S27" s="1">
        <f t="shared" si="9"/>
        <v>0.983114113046569</v>
      </c>
      <c r="T27" s="1">
        <f t="shared" si="3"/>
        <v>1.15373383395912</v>
      </c>
      <c r="U27" s="1">
        <f t="shared" si="11"/>
        <v>0.933502109704641</v>
      </c>
      <c r="V27" s="1">
        <f t="shared" si="5"/>
        <v>0.876684102076399</v>
      </c>
      <c r="W27" s="1">
        <f t="shared" si="6"/>
        <v>0.973082336382829</v>
      </c>
    </row>
    <row r="28" spans="1:23">
      <c r="A28" s="1" t="s">
        <v>45</v>
      </c>
      <c r="B28" s="1">
        <v>943695</v>
      </c>
      <c r="C28" s="1">
        <v>943695</v>
      </c>
      <c r="D28" s="1">
        <v>77651847</v>
      </c>
      <c r="E28" s="1">
        <v>2106.51</v>
      </c>
      <c r="F28" s="1">
        <v>1803.14</v>
      </c>
      <c r="G28" s="1">
        <v>2066.01</v>
      </c>
      <c r="H28" s="1">
        <v>1622.87</v>
      </c>
      <c r="I28" s="1">
        <v>1419.05</v>
      </c>
      <c r="J28" s="1">
        <v>1051.72</v>
      </c>
      <c r="K28" s="1">
        <v>77651847</v>
      </c>
      <c r="L28" s="1">
        <v>77726088</v>
      </c>
      <c r="M28" s="2">
        <f t="shared" si="0"/>
        <v>1.00095607513367</v>
      </c>
      <c r="N28" s="1">
        <v>89554332</v>
      </c>
      <c r="O28" s="2">
        <f t="shared" si="1"/>
        <v>1.15328012738705</v>
      </c>
      <c r="P28" s="1">
        <v>41056208</v>
      </c>
      <c r="Q28" s="2">
        <f t="shared" si="10"/>
        <v>0.5287215898419</v>
      </c>
      <c r="S28" s="1">
        <f t="shared" si="9"/>
        <v>1.16824539414577</v>
      </c>
      <c r="T28" s="1">
        <f t="shared" si="3"/>
        <v>1.01960300288963</v>
      </c>
      <c r="U28" s="1">
        <f t="shared" si="11"/>
        <v>1.29801524459753</v>
      </c>
      <c r="V28" s="1">
        <f t="shared" si="5"/>
        <v>1.48445086501533</v>
      </c>
      <c r="W28" s="1">
        <f t="shared" si="6"/>
        <v>2.00291902787814</v>
      </c>
    </row>
    <row r="29" spans="1:23">
      <c r="A29" s="1" t="s">
        <v>46</v>
      </c>
      <c r="B29" s="1">
        <v>35543</v>
      </c>
      <c r="C29" s="1">
        <v>35543</v>
      </c>
      <c r="D29" s="1">
        <v>128115</v>
      </c>
      <c r="E29" s="1">
        <v>3.314</v>
      </c>
      <c r="F29" s="1">
        <v>3.411</v>
      </c>
      <c r="G29" s="1">
        <v>2.747</v>
      </c>
      <c r="H29" s="1">
        <v>4.738</v>
      </c>
      <c r="I29" s="1">
        <v>2.924</v>
      </c>
      <c r="J29" s="1">
        <v>3.021</v>
      </c>
      <c r="K29" s="1">
        <v>128115</v>
      </c>
      <c r="L29" s="1">
        <v>128140</v>
      </c>
      <c r="M29" s="2">
        <f t="shared" si="0"/>
        <v>1.00019513718144</v>
      </c>
      <c r="N29" s="1">
        <v>220366</v>
      </c>
      <c r="O29" s="2">
        <f t="shared" si="1"/>
        <v>1.72006400499551</v>
      </c>
      <c r="P29" s="1">
        <v>111524</v>
      </c>
      <c r="Q29" s="2">
        <f t="shared" si="10"/>
        <v>0.87049916091012</v>
      </c>
      <c r="S29" s="1">
        <f t="shared" si="9"/>
        <v>0.971562591615362</v>
      </c>
      <c r="T29" s="1">
        <f t="shared" si="3"/>
        <v>1.20640698944303</v>
      </c>
      <c r="U29" s="1">
        <f t="shared" si="11"/>
        <v>0.699451245251161</v>
      </c>
      <c r="V29" s="1">
        <f t="shared" si="5"/>
        <v>1.13337893296854</v>
      </c>
      <c r="W29" s="1">
        <f t="shared" si="6"/>
        <v>1.09698775239987</v>
      </c>
    </row>
    <row r="30" spans="1:23">
      <c r="A30" s="1" t="s">
        <v>47</v>
      </c>
      <c r="B30" s="1">
        <v>3948</v>
      </c>
      <c r="C30" s="1">
        <v>3948</v>
      </c>
      <c r="D30" s="1">
        <v>117816</v>
      </c>
      <c r="E30" s="1">
        <v>2.126</v>
      </c>
      <c r="F30" s="1">
        <v>1.791</v>
      </c>
      <c r="G30" s="1">
        <v>1.682</v>
      </c>
      <c r="H30" s="1">
        <v>1.778</v>
      </c>
      <c r="I30" s="1">
        <v>1.394</v>
      </c>
      <c r="J30" s="1">
        <v>1.468</v>
      </c>
      <c r="K30" s="1">
        <v>117816</v>
      </c>
      <c r="L30" s="1">
        <v>117962</v>
      </c>
      <c r="M30" s="2">
        <f t="shared" si="0"/>
        <v>1.00123922047939</v>
      </c>
      <c r="N30" s="1">
        <v>155104</v>
      </c>
      <c r="O30" s="2">
        <f t="shared" si="1"/>
        <v>1.31649351531201</v>
      </c>
      <c r="P30" s="1">
        <v>68792</v>
      </c>
      <c r="Q30" s="2">
        <f t="shared" si="10"/>
        <v>0.58389352889251</v>
      </c>
      <c r="S30" s="1">
        <f t="shared" si="9"/>
        <v>1.18704634282524</v>
      </c>
      <c r="T30" s="1">
        <f t="shared" si="3"/>
        <v>1.26397146254459</v>
      </c>
      <c r="U30" s="1">
        <f t="shared" si="11"/>
        <v>1.19572553430821</v>
      </c>
      <c r="V30" s="1">
        <f t="shared" si="5"/>
        <v>1.52510760401722</v>
      </c>
      <c r="W30" s="1">
        <f t="shared" si="6"/>
        <v>1.44822888283379</v>
      </c>
    </row>
    <row r="31" spans="1:23">
      <c r="A31" s="1" t="s">
        <v>48</v>
      </c>
      <c r="B31" s="1">
        <v>4884</v>
      </c>
      <c r="C31" s="1">
        <v>4884</v>
      </c>
      <c r="D31" s="1">
        <v>290378</v>
      </c>
      <c r="E31" s="1">
        <v>5.516</v>
      </c>
      <c r="F31" s="1">
        <v>4.212</v>
      </c>
      <c r="G31" s="1">
        <v>4.3</v>
      </c>
      <c r="H31" s="1">
        <v>3.511</v>
      </c>
      <c r="I31" s="1">
        <v>2.795</v>
      </c>
      <c r="J31" s="1">
        <v>3.239</v>
      </c>
      <c r="K31" s="1">
        <v>290378</v>
      </c>
      <c r="L31" s="1">
        <v>290724</v>
      </c>
      <c r="M31" s="2">
        <f t="shared" si="0"/>
        <v>1.00119155032406</v>
      </c>
      <c r="N31" s="1">
        <v>313394</v>
      </c>
      <c r="O31" s="2">
        <f t="shared" si="1"/>
        <v>1.07926220305946</v>
      </c>
      <c r="P31" s="1">
        <v>150772</v>
      </c>
      <c r="Q31" s="2">
        <f t="shared" si="10"/>
        <v>0.519226663176962</v>
      </c>
      <c r="S31" s="1">
        <f t="shared" si="9"/>
        <v>1.30959164292498</v>
      </c>
      <c r="T31" s="1">
        <f t="shared" si="3"/>
        <v>1.28279069767442</v>
      </c>
      <c r="U31" s="1">
        <f t="shared" si="11"/>
        <v>1.57106237539163</v>
      </c>
      <c r="V31" s="1">
        <f t="shared" si="5"/>
        <v>1.97352415026834</v>
      </c>
      <c r="W31" s="1">
        <f t="shared" si="6"/>
        <v>1.7029947514665</v>
      </c>
    </row>
    <row r="32" spans="1:23">
      <c r="A32" s="1" t="s">
        <v>49</v>
      </c>
      <c r="B32" s="1">
        <v>10974</v>
      </c>
      <c r="C32" s="1">
        <v>10974</v>
      </c>
      <c r="D32" s="1">
        <v>428650</v>
      </c>
      <c r="E32" s="1">
        <v>8.244</v>
      </c>
      <c r="F32" s="1">
        <v>6.673</v>
      </c>
      <c r="G32" s="1">
        <v>6.513</v>
      </c>
      <c r="H32" s="1">
        <v>5.621</v>
      </c>
      <c r="I32" s="1">
        <v>4.309</v>
      </c>
      <c r="J32" s="1">
        <v>5.104</v>
      </c>
      <c r="K32" s="1">
        <v>428650</v>
      </c>
      <c r="L32" s="1">
        <v>429234</v>
      </c>
      <c r="M32" s="2">
        <f t="shared" si="0"/>
        <v>1.00136241689024</v>
      </c>
      <c r="N32" s="1">
        <v>474516</v>
      </c>
      <c r="O32" s="2">
        <f t="shared" si="1"/>
        <v>1.10700104980754</v>
      </c>
      <c r="P32" s="1">
        <v>224476</v>
      </c>
      <c r="Q32" s="2">
        <f t="shared" si="10"/>
        <v>0.5236813250904</v>
      </c>
      <c r="S32" s="1">
        <f t="shared" si="9"/>
        <v>1.23542634497228</v>
      </c>
      <c r="T32" s="1">
        <f t="shared" si="3"/>
        <v>1.26577614002764</v>
      </c>
      <c r="U32" s="1">
        <f t="shared" si="11"/>
        <v>1.466642946095</v>
      </c>
      <c r="V32" s="1">
        <f t="shared" si="5"/>
        <v>1.91320491993502</v>
      </c>
      <c r="W32" s="1">
        <f t="shared" si="6"/>
        <v>1.61520376175549</v>
      </c>
    </row>
    <row r="33" spans="1:23">
      <c r="A33" s="1" t="s">
        <v>50</v>
      </c>
      <c r="B33" s="1">
        <v>11948</v>
      </c>
      <c r="C33" s="1">
        <v>11948</v>
      </c>
      <c r="D33" s="1">
        <v>149090</v>
      </c>
      <c r="E33" s="1">
        <v>2.863</v>
      </c>
      <c r="F33" s="1">
        <v>2.943</v>
      </c>
      <c r="G33" s="1">
        <v>2.386</v>
      </c>
      <c r="H33" s="1">
        <v>3.441</v>
      </c>
      <c r="I33" s="1">
        <v>3.287</v>
      </c>
      <c r="J33" s="1">
        <v>2.967</v>
      </c>
      <c r="K33" s="1">
        <v>149090</v>
      </c>
      <c r="L33" s="1">
        <v>149492</v>
      </c>
      <c r="M33" s="2">
        <f t="shared" si="0"/>
        <v>1.00269635790462</v>
      </c>
      <c r="N33" s="1">
        <v>255686</v>
      </c>
      <c r="O33" s="2">
        <f t="shared" si="1"/>
        <v>1.71497753035079</v>
      </c>
      <c r="P33" s="1">
        <v>106416</v>
      </c>
      <c r="Q33" s="2">
        <f t="shared" si="10"/>
        <v>0.71377020591589</v>
      </c>
      <c r="S33" s="1">
        <f t="shared" si="9"/>
        <v>0.972816853550798</v>
      </c>
      <c r="T33" s="1">
        <f t="shared" si="3"/>
        <v>1.19991617770327</v>
      </c>
      <c r="U33" s="1">
        <f t="shared" si="11"/>
        <v>0.832025573961058</v>
      </c>
      <c r="V33" s="1">
        <f t="shared" si="5"/>
        <v>0.871006997261941</v>
      </c>
      <c r="W33" s="1">
        <f t="shared" si="6"/>
        <v>0.9649477586788</v>
      </c>
    </row>
    <row r="34" spans="1:23">
      <c r="A34" s="1" t="s">
        <v>51</v>
      </c>
      <c r="B34" s="1">
        <v>3600</v>
      </c>
      <c r="C34" s="1">
        <v>3600</v>
      </c>
      <c r="D34" s="1">
        <v>26600</v>
      </c>
      <c r="E34" s="1">
        <v>0.434</v>
      </c>
      <c r="F34" s="1">
        <v>0.482</v>
      </c>
      <c r="G34" s="1">
        <v>0.386</v>
      </c>
      <c r="H34" s="1">
        <v>0.587</v>
      </c>
      <c r="I34" s="1">
        <v>0.385</v>
      </c>
      <c r="J34" s="1">
        <v>0.419</v>
      </c>
      <c r="K34" s="1">
        <v>26600</v>
      </c>
      <c r="L34" s="1">
        <v>26610</v>
      </c>
      <c r="M34" s="2">
        <f t="shared" si="0"/>
        <v>1.00037593984962</v>
      </c>
      <c r="N34" s="1">
        <v>48560</v>
      </c>
      <c r="O34" s="2">
        <f t="shared" si="1"/>
        <v>1.82556390977444</v>
      </c>
      <c r="P34" s="1">
        <v>18540</v>
      </c>
      <c r="Q34" s="2">
        <f t="shared" si="10"/>
        <v>0.696992481203007</v>
      </c>
      <c r="S34" s="1">
        <f t="shared" si="9"/>
        <v>0.900414937759336</v>
      </c>
      <c r="T34" s="1">
        <f t="shared" si="3"/>
        <v>1.12435233160622</v>
      </c>
      <c r="U34" s="1">
        <f t="shared" si="11"/>
        <v>0.739352640545145</v>
      </c>
      <c r="V34" s="1">
        <f t="shared" si="5"/>
        <v>1.12727272727273</v>
      </c>
      <c r="W34" s="1">
        <f t="shared" si="6"/>
        <v>1.03579952267303</v>
      </c>
    </row>
    <row r="35" spans="1:23">
      <c r="A35" s="1" t="s">
        <v>52</v>
      </c>
      <c r="B35" s="1">
        <v>3134</v>
      </c>
      <c r="C35" s="1">
        <v>3134</v>
      </c>
      <c r="D35" s="1">
        <v>45178</v>
      </c>
      <c r="E35" s="1">
        <v>0.796</v>
      </c>
      <c r="F35" s="1">
        <v>0.747</v>
      </c>
      <c r="G35" s="1">
        <v>0.636</v>
      </c>
      <c r="H35" s="1">
        <v>0.935</v>
      </c>
      <c r="I35" s="1">
        <v>0.597</v>
      </c>
      <c r="J35" s="1">
        <v>0.735</v>
      </c>
      <c r="K35" s="1">
        <v>45178</v>
      </c>
      <c r="L35" s="1">
        <v>45240</v>
      </c>
      <c r="M35" s="2">
        <f t="shared" si="0"/>
        <v>1.00137234937359</v>
      </c>
      <c r="N35" s="1">
        <v>76582</v>
      </c>
      <c r="O35" s="2">
        <f t="shared" si="1"/>
        <v>1.6951170923901</v>
      </c>
      <c r="P35" s="1">
        <v>27434</v>
      </c>
      <c r="Q35" s="2">
        <f t="shared" si="10"/>
        <v>0.607242463145779</v>
      </c>
      <c r="S35" s="1">
        <f t="shared" si="9"/>
        <v>1.06559571619813</v>
      </c>
      <c r="T35" s="1">
        <f t="shared" si="3"/>
        <v>1.25157232704403</v>
      </c>
      <c r="U35" s="1">
        <f t="shared" si="11"/>
        <v>0.851336898395722</v>
      </c>
      <c r="V35" s="1">
        <f t="shared" si="5"/>
        <v>1.33333333333333</v>
      </c>
      <c r="W35" s="1">
        <f t="shared" si="6"/>
        <v>1.08299319727891</v>
      </c>
    </row>
    <row r="36" spans="1:23">
      <c r="A36" s="1" t="s">
        <v>53</v>
      </c>
      <c r="B36" s="1">
        <v>3562</v>
      </c>
      <c r="C36" s="1">
        <v>3562</v>
      </c>
      <c r="D36" s="1">
        <v>159910</v>
      </c>
      <c r="E36" s="1">
        <v>2.952</v>
      </c>
      <c r="F36" s="1">
        <v>2.262</v>
      </c>
      <c r="G36" s="1">
        <v>2.248</v>
      </c>
      <c r="H36" s="1">
        <v>1.742</v>
      </c>
      <c r="I36" s="1">
        <v>1.458</v>
      </c>
      <c r="J36" s="1">
        <v>1.816</v>
      </c>
      <c r="K36" s="1">
        <v>159910</v>
      </c>
      <c r="L36" s="1">
        <v>159926</v>
      </c>
      <c r="M36" s="2">
        <f t="shared" si="0"/>
        <v>1.00010005628166</v>
      </c>
      <c r="N36" s="1">
        <v>161020</v>
      </c>
      <c r="O36" s="2">
        <f t="shared" si="1"/>
        <v>1.00694140454005</v>
      </c>
      <c r="P36" s="1">
        <v>83662</v>
      </c>
      <c r="Q36" s="2">
        <f t="shared" si="10"/>
        <v>0.523181789756738</v>
      </c>
      <c r="S36" s="1">
        <f t="shared" si="9"/>
        <v>1.30503978779841</v>
      </c>
      <c r="T36" s="1">
        <f t="shared" si="3"/>
        <v>1.31316725978648</v>
      </c>
      <c r="U36" s="1">
        <f t="shared" si="11"/>
        <v>1.69460390355913</v>
      </c>
      <c r="V36" s="1">
        <f t="shared" si="5"/>
        <v>2.02469135802469</v>
      </c>
      <c r="W36" s="1">
        <f t="shared" si="6"/>
        <v>1.62555066079295</v>
      </c>
    </row>
    <row r="37" spans="1:23">
      <c r="A37" s="1" t="s">
        <v>54</v>
      </c>
      <c r="B37" s="1">
        <v>15439</v>
      </c>
      <c r="C37" s="1">
        <v>15439</v>
      </c>
      <c r="D37" s="1">
        <v>252241</v>
      </c>
      <c r="E37" s="1">
        <v>4.756</v>
      </c>
      <c r="F37" s="1">
        <v>4.594</v>
      </c>
      <c r="G37" s="1">
        <v>4.013</v>
      </c>
      <c r="H37" s="1">
        <v>5.067</v>
      </c>
      <c r="I37" s="1">
        <v>4.511</v>
      </c>
      <c r="J37" s="1">
        <v>4.09</v>
      </c>
      <c r="K37" s="1">
        <v>252241</v>
      </c>
      <c r="L37" s="1">
        <v>252710</v>
      </c>
      <c r="M37" s="2">
        <f t="shared" si="0"/>
        <v>1.00185933293953</v>
      </c>
      <c r="N37" s="1">
        <v>385364</v>
      </c>
      <c r="O37" s="2">
        <f t="shared" si="1"/>
        <v>1.52776114905983</v>
      </c>
      <c r="P37" s="1">
        <v>162666</v>
      </c>
      <c r="Q37" s="2">
        <f t="shared" si="10"/>
        <v>0.64488326639999</v>
      </c>
      <c r="S37" s="1">
        <f t="shared" si="9"/>
        <v>1.03526338702656</v>
      </c>
      <c r="T37" s="1">
        <f t="shared" si="3"/>
        <v>1.18514826812858</v>
      </c>
      <c r="U37" s="1">
        <f t="shared" si="11"/>
        <v>0.938622459048747</v>
      </c>
      <c r="V37" s="1">
        <f t="shared" si="5"/>
        <v>1.05431168255376</v>
      </c>
      <c r="W37" s="1">
        <f t="shared" si="6"/>
        <v>1.16283618581907</v>
      </c>
    </row>
    <row r="38" spans="1:23">
      <c r="A38" s="1" t="s">
        <v>55</v>
      </c>
      <c r="B38" s="1">
        <v>4410</v>
      </c>
      <c r="C38" s="1">
        <v>4410</v>
      </c>
      <c r="D38" s="1">
        <v>219024</v>
      </c>
      <c r="E38" s="1">
        <v>4.051</v>
      </c>
      <c r="F38" s="1">
        <v>3.029</v>
      </c>
      <c r="G38" s="1">
        <v>3.113</v>
      </c>
      <c r="H38" s="1">
        <v>2.48</v>
      </c>
      <c r="I38" s="1">
        <v>2.042</v>
      </c>
      <c r="J38" s="1">
        <v>2.484</v>
      </c>
      <c r="K38" s="1">
        <v>219024</v>
      </c>
      <c r="L38" s="1">
        <v>219206</v>
      </c>
      <c r="M38" s="2">
        <f t="shared" si="0"/>
        <v>1.00083095916429</v>
      </c>
      <c r="N38" s="1">
        <v>220062</v>
      </c>
      <c r="O38" s="2">
        <f t="shared" si="1"/>
        <v>1.00473920666228</v>
      </c>
      <c r="P38" s="1">
        <v>113940</v>
      </c>
      <c r="Q38" s="2">
        <f t="shared" si="10"/>
        <v>0.520216962524655</v>
      </c>
      <c r="S38" s="1">
        <f t="shared" si="9"/>
        <v>1.3374050841862</v>
      </c>
      <c r="T38" s="1">
        <f t="shared" si="3"/>
        <v>1.3013170575008</v>
      </c>
      <c r="U38" s="1">
        <f t="shared" si="11"/>
        <v>1.63346774193548</v>
      </c>
      <c r="V38" s="1">
        <f t="shared" si="5"/>
        <v>1.98383937316357</v>
      </c>
      <c r="W38" s="1">
        <f t="shared" si="6"/>
        <v>1.63083735909823</v>
      </c>
    </row>
    <row r="39" spans="1:23">
      <c r="A39" s="1" t="s">
        <v>56</v>
      </c>
      <c r="B39" s="1">
        <v>30237</v>
      </c>
      <c r="C39" s="1">
        <v>30237</v>
      </c>
      <c r="D39" s="1">
        <v>1450163</v>
      </c>
      <c r="E39" s="1">
        <v>29.113</v>
      </c>
      <c r="F39" s="1">
        <v>22.731</v>
      </c>
      <c r="G39" s="1">
        <v>24.127</v>
      </c>
      <c r="H39" s="1">
        <v>17.952</v>
      </c>
      <c r="I39" s="1">
        <v>15.121</v>
      </c>
      <c r="J39" s="1">
        <v>17.014</v>
      </c>
      <c r="K39" s="1">
        <v>1450163</v>
      </c>
      <c r="L39" s="1">
        <v>1450926</v>
      </c>
      <c r="M39" s="2">
        <f t="shared" si="0"/>
        <v>1.00052614775029</v>
      </c>
      <c r="N39" s="1">
        <v>1473026</v>
      </c>
      <c r="O39" s="2">
        <f t="shared" si="1"/>
        <v>1.01576581391195</v>
      </c>
      <c r="P39" s="1">
        <v>757282</v>
      </c>
      <c r="Q39" s="2">
        <f t="shared" si="10"/>
        <v>0.522204745259671</v>
      </c>
      <c r="S39" s="1">
        <f t="shared" si="9"/>
        <v>1.28076195503937</v>
      </c>
      <c r="T39" s="1">
        <f t="shared" si="3"/>
        <v>1.20665644298918</v>
      </c>
      <c r="U39" s="1">
        <f t="shared" si="11"/>
        <v>1.62171345811052</v>
      </c>
      <c r="V39" s="1">
        <f t="shared" si="5"/>
        <v>1.92533562595066</v>
      </c>
      <c r="W39" s="1">
        <f t="shared" si="6"/>
        <v>1.71112025390855</v>
      </c>
    </row>
    <row r="40" spans="1:23">
      <c r="A40" s="1" t="s">
        <v>57</v>
      </c>
      <c r="B40" s="1">
        <v>23052</v>
      </c>
      <c r="C40" s="1">
        <v>23052</v>
      </c>
      <c r="D40" s="1">
        <v>1143140</v>
      </c>
      <c r="E40" s="1">
        <v>22.321</v>
      </c>
      <c r="F40" s="1">
        <v>17.833</v>
      </c>
      <c r="G40" s="1">
        <v>18.731</v>
      </c>
      <c r="H40" s="1">
        <v>14.752</v>
      </c>
      <c r="I40" s="1">
        <v>12.14</v>
      </c>
      <c r="J40" s="1">
        <v>13.558</v>
      </c>
      <c r="K40" s="1">
        <v>1143140</v>
      </c>
      <c r="L40" s="1">
        <v>1144608</v>
      </c>
      <c r="M40" s="2">
        <f t="shared" si="0"/>
        <v>1.00128418216491</v>
      </c>
      <c r="N40" s="1">
        <v>1167384</v>
      </c>
      <c r="O40" s="2">
        <f t="shared" si="1"/>
        <v>1.02120825095789</v>
      </c>
      <c r="P40" s="1">
        <v>596124</v>
      </c>
      <c r="Q40" s="2">
        <f t="shared" si="10"/>
        <v>0.521479433840125</v>
      </c>
      <c r="S40" s="1">
        <f t="shared" si="9"/>
        <v>1.25166825548141</v>
      </c>
      <c r="T40" s="1">
        <f t="shared" si="3"/>
        <v>1.19166088302814</v>
      </c>
      <c r="U40" s="1">
        <f t="shared" si="11"/>
        <v>1.51308297180043</v>
      </c>
      <c r="V40" s="1">
        <f t="shared" si="5"/>
        <v>1.83863261943987</v>
      </c>
      <c r="W40" s="1">
        <f t="shared" si="6"/>
        <v>1.64633426759109</v>
      </c>
    </row>
    <row r="41" spans="1:23">
      <c r="A41" s="1" t="s">
        <v>58</v>
      </c>
      <c r="B41" s="1">
        <v>25503</v>
      </c>
      <c r="C41" s="1">
        <v>25503</v>
      </c>
      <c r="D41" s="1">
        <v>1140977</v>
      </c>
      <c r="E41" s="1">
        <v>22.267</v>
      </c>
      <c r="F41" s="1">
        <v>17.864</v>
      </c>
      <c r="G41" s="1">
        <v>18.909</v>
      </c>
      <c r="H41" s="1">
        <v>15.697</v>
      </c>
      <c r="I41" s="1">
        <v>12.549</v>
      </c>
      <c r="J41" s="1">
        <v>13.63</v>
      </c>
      <c r="K41" s="1">
        <v>1140977</v>
      </c>
      <c r="L41" s="1">
        <v>1142016</v>
      </c>
      <c r="M41" s="2">
        <f t="shared" si="0"/>
        <v>1.00091062308881</v>
      </c>
      <c r="N41" s="1">
        <v>1189750</v>
      </c>
      <c r="O41" s="2">
        <f t="shared" si="1"/>
        <v>1.04274669866264</v>
      </c>
      <c r="P41" s="1">
        <v>601626</v>
      </c>
      <c r="Q41" s="2">
        <f t="shared" si="10"/>
        <v>0.527290208303936</v>
      </c>
      <c r="S41" s="1">
        <f t="shared" si="9"/>
        <v>1.24647335423197</v>
      </c>
      <c r="T41" s="1">
        <f t="shared" si="3"/>
        <v>1.17758739224708</v>
      </c>
      <c r="U41" s="1">
        <f t="shared" si="11"/>
        <v>1.418551315538</v>
      </c>
      <c r="V41" s="1">
        <f t="shared" si="5"/>
        <v>1.77440433500677</v>
      </c>
      <c r="W41" s="1">
        <f t="shared" si="6"/>
        <v>1.63367571533382</v>
      </c>
    </row>
    <row r="42" spans="1:23">
      <c r="A42" s="1" t="s">
        <v>59</v>
      </c>
      <c r="B42" s="1">
        <v>8032</v>
      </c>
      <c r="C42" s="1">
        <v>8032</v>
      </c>
      <c r="D42" s="1">
        <v>355460</v>
      </c>
      <c r="E42" s="1">
        <v>6.778</v>
      </c>
      <c r="F42" s="1">
        <v>5.539</v>
      </c>
      <c r="G42" s="1">
        <v>5.381</v>
      </c>
      <c r="H42" s="1">
        <v>4.558</v>
      </c>
      <c r="I42" s="1">
        <v>3.963</v>
      </c>
      <c r="J42" s="1">
        <v>4.475</v>
      </c>
      <c r="K42" s="1">
        <v>355460</v>
      </c>
      <c r="L42" s="1">
        <v>355964</v>
      </c>
      <c r="M42" s="2">
        <f t="shared" si="0"/>
        <v>1.00141788105553</v>
      </c>
      <c r="N42" s="1">
        <v>379570</v>
      </c>
      <c r="O42" s="2">
        <f t="shared" si="1"/>
        <v>1.06782760366849</v>
      </c>
      <c r="P42" s="1">
        <v>188788</v>
      </c>
      <c r="Q42" s="2">
        <f t="shared" si="10"/>
        <v>0.531108985539864</v>
      </c>
      <c r="S42" s="1">
        <f t="shared" si="9"/>
        <v>1.22368658602636</v>
      </c>
      <c r="T42" s="1">
        <f t="shared" si="3"/>
        <v>1.25961717152946</v>
      </c>
      <c r="U42" s="1">
        <f t="shared" si="11"/>
        <v>1.4870557261957</v>
      </c>
      <c r="V42" s="1">
        <f t="shared" si="5"/>
        <v>1.71032046429473</v>
      </c>
      <c r="W42" s="1">
        <f t="shared" si="6"/>
        <v>1.51463687150838</v>
      </c>
    </row>
    <row r="43" spans="1:23">
      <c r="A43" s="1" t="s">
        <v>60</v>
      </c>
      <c r="B43" s="1">
        <v>46772</v>
      </c>
      <c r="C43" s="1">
        <v>46772</v>
      </c>
      <c r="D43" s="1">
        <v>2089294</v>
      </c>
      <c r="E43" s="1">
        <v>42.583</v>
      </c>
      <c r="F43" s="1">
        <v>31.901</v>
      </c>
      <c r="G43" s="1">
        <v>35.142</v>
      </c>
      <c r="H43" s="1">
        <v>30.683</v>
      </c>
      <c r="I43" s="1">
        <v>20.921</v>
      </c>
      <c r="J43" s="1">
        <v>24.503</v>
      </c>
      <c r="K43" s="1">
        <v>2089294</v>
      </c>
      <c r="L43" s="1">
        <v>2089868</v>
      </c>
      <c r="M43" s="2">
        <f t="shared" si="0"/>
        <v>1.00027473395319</v>
      </c>
      <c r="N43" s="1">
        <v>2447524</v>
      </c>
      <c r="O43" s="2">
        <f t="shared" si="1"/>
        <v>1.17145983284306</v>
      </c>
      <c r="P43" s="1">
        <v>1091612</v>
      </c>
      <c r="Q43" s="2">
        <f t="shared" si="10"/>
        <v>0.522478885211942</v>
      </c>
      <c r="S43" s="1">
        <f t="shared" si="9"/>
        <v>1.33484843735306</v>
      </c>
      <c r="T43" s="1">
        <f t="shared" si="3"/>
        <v>1.21174093677082</v>
      </c>
      <c r="U43" s="1">
        <f t="shared" si="11"/>
        <v>1.38783691294854</v>
      </c>
      <c r="V43" s="1">
        <f t="shared" si="5"/>
        <v>2.03541895702882</v>
      </c>
      <c r="W43" s="1">
        <f t="shared" si="6"/>
        <v>1.73786883238787</v>
      </c>
    </row>
    <row r="44" spans="1:23">
      <c r="A44" s="1" t="s">
        <v>61</v>
      </c>
      <c r="B44" s="1">
        <v>3600</v>
      </c>
      <c r="C44" s="1">
        <v>3600</v>
      </c>
      <c r="D44" s="1">
        <v>3600</v>
      </c>
      <c r="E44" s="1">
        <v>0.103</v>
      </c>
      <c r="F44" s="1">
        <v>0.103</v>
      </c>
      <c r="G44" s="1">
        <v>0.101</v>
      </c>
      <c r="H44" s="1">
        <v>0.153</v>
      </c>
      <c r="I44" s="1">
        <v>0.094</v>
      </c>
      <c r="J44" s="1">
        <v>0.128</v>
      </c>
      <c r="K44" s="1">
        <v>3600</v>
      </c>
      <c r="L44" s="1">
        <v>3600</v>
      </c>
      <c r="M44" s="2">
        <f t="shared" si="0"/>
        <v>1</v>
      </c>
      <c r="N44" s="1">
        <v>7200</v>
      </c>
      <c r="O44" s="2">
        <f t="shared" si="1"/>
        <v>2</v>
      </c>
      <c r="P44" s="1">
        <v>3600</v>
      </c>
      <c r="Q44" s="2">
        <f t="shared" si="10"/>
        <v>1</v>
      </c>
      <c r="S44" s="1">
        <f t="shared" si="9"/>
        <v>1</v>
      </c>
      <c r="T44" s="1">
        <f t="shared" si="3"/>
        <v>1.01980198019802</v>
      </c>
      <c r="U44" s="1">
        <f t="shared" si="11"/>
        <v>0.673202614379085</v>
      </c>
      <c r="V44" s="1">
        <f t="shared" si="5"/>
        <v>1.09574468085106</v>
      </c>
      <c r="W44" s="1">
        <f t="shared" si="6"/>
        <v>0.8046875</v>
      </c>
    </row>
    <row r="45" spans="1:23">
      <c r="A45" s="1" t="s">
        <v>62</v>
      </c>
      <c r="B45" s="1">
        <v>3134</v>
      </c>
      <c r="C45" s="1">
        <v>3134</v>
      </c>
      <c r="D45" s="1">
        <v>3134</v>
      </c>
      <c r="E45" s="1">
        <v>0.088</v>
      </c>
      <c r="F45" s="1">
        <v>0.089</v>
      </c>
      <c r="G45" s="1">
        <v>0.089</v>
      </c>
      <c r="H45" s="1">
        <v>0.132</v>
      </c>
      <c r="I45" s="1">
        <v>0.084</v>
      </c>
      <c r="J45" s="1">
        <v>0.117</v>
      </c>
      <c r="K45" s="1">
        <v>3134</v>
      </c>
      <c r="L45" s="1">
        <v>3134</v>
      </c>
      <c r="M45" s="2">
        <f t="shared" si="0"/>
        <v>1</v>
      </c>
      <c r="N45" s="1">
        <v>6268</v>
      </c>
      <c r="O45" s="2">
        <f t="shared" si="1"/>
        <v>2</v>
      </c>
      <c r="P45" s="1">
        <v>3134</v>
      </c>
      <c r="Q45" s="2">
        <f t="shared" si="10"/>
        <v>1</v>
      </c>
      <c r="S45" s="1">
        <f t="shared" si="9"/>
        <v>0.98876404494382</v>
      </c>
      <c r="T45" s="1">
        <f t="shared" si="3"/>
        <v>0.98876404494382</v>
      </c>
      <c r="U45" s="1">
        <f t="shared" si="11"/>
        <v>0.666666666666667</v>
      </c>
      <c r="V45" s="1">
        <f t="shared" si="5"/>
        <v>1.04761904761905</v>
      </c>
      <c r="W45" s="1">
        <f t="shared" si="6"/>
        <v>0.752136752136752</v>
      </c>
    </row>
    <row r="46" spans="1:23">
      <c r="A46" s="1" t="s">
        <v>63</v>
      </c>
      <c r="B46" s="1">
        <v>3562</v>
      </c>
      <c r="C46" s="1">
        <v>3562</v>
      </c>
      <c r="D46" s="1">
        <v>3562</v>
      </c>
      <c r="E46" s="1">
        <v>0.101</v>
      </c>
      <c r="F46" s="1">
        <v>0.105</v>
      </c>
      <c r="G46" s="1">
        <v>0.1</v>
      </c>
      <c r="H46" s="1">
        <v>0.164</v>
      </c>
      <c r="I46" s="1">
        <v>0.151</v>
      </c>
      <c r="J46" s="1">
        <v>0.123</v>
      </c>
      <c r="K46" s="1">
        <v>3562</v>
      </c>
      <c r="L46" s="1">
        <v>3562</v>
      </c>
      <c r="M46" s="2">
        <f t="shared" si="0"/>
        <v>1</v>
      </c>
      <c r="N46" s="1">
        <v>7124</v>
      </c>
      <c r="O46" s="2">
        <f t="shared" si="1"/>
        <v>2</v>
      </c>
      <c r="P46" s="1">
        <v>3562</v>
      </c>
      <c r="Q46" s="2">
        <f t="shared" si="10"/>
        <v>1</v>
      </c>
      <c r="S46" s="1">
        <f t="shared" si="9"/>
        <v>0.961904761904762</v>
      </c>
      <c r="T46" s="1">
        <f t="shared" si="3"/>
        <v>1.01</v>
      </c>
      <c r="U46" s="1">
        <f t="shared" si="11"/>
        <v>0.615853658536585</v>
      </c>
      <c r="V46" s="1">
        <f t="shared" si="5"/>
        <v>0.668874172185431</v>
      </c>
      <c r="W46" s="1">
        <f t="shared" si="6"/>
        <v>0.821138211382114</v>
      </c>
    </row>
    <row r="47" spans="1:23">
      <c r="A47" s="1" t="s">
        <v>64</v>
      </c>
      <c r="B47" s="1">
        <v>15439</v>
      </c>
      <c r="C47" s="1">
        <v>15439</v>
      </c>
      <c r="D47" s="1">
        <v>15439</v>
      </c>
      <c r="E47" s="1">
        <v>0.477</v>
      </c>
      <c r="F47" s="1">
        <v>0.463</v>
      </c>
      <c r="G47" s="1">
        <v>0.478</v>
      </c>
      <c r="H47" s="1">
        <v>0.676</v>
      </c>
      <c r="I47" s="1">
        <v>0.644</v>
      </c>
      <c r="J47" s="1">
        <v>0.441</v>
      </c>
      <c r="K47" s="1">
        <v>15439</v>
      </c>
      <c r="L47" s="1">
        <v>15438</v>
      </c>
      <c r="M47" s="2">
        <f t="shared" si="0"/>
        <v>0.999935228965607</v>
      </c>
      <c r="N47" s="1">
        <v>30878</v>
      </c>
      <c r="O47" s="2">
        <f t="shared" si="1"/>
        <v>2</v>
      </c>
      <c r="P47" s="1">
        <v>15438</v>
      </c>
      <c r="Q47" s="2">
        <f t="shared" si="10"/>
        <v>0.999935228965607</v>
      </c>
      <c r="S47" s="1">
        <f t="shared" si="9"/>
        <v>1.03023758099352</v>
      </c>
      <c r="T47" s="1">
        <f t="shared" si="3"/>
        <v>0.997907949790795</v>
      </c>
      <c r="U47" s="1">
        <f t="shared" si="11"/>
        <v>0.705621301775148</v>
      </c>
      <c r="V47" s="1">
        <f t="shared" si="5"/>
        <v>0.740683229813665</v>
      </c>
      <c r="W47" s="1">
        <f t="shared" si="6"/>
        <v>1.08163265306122</v>
      </c>
    </row>
    <row r="48" spans="1:23">
      <c r="A48" s="1" t="s">
        <v>65</v>
      </c>
      <c r="B48" s="1">
        <v>30237</v>
      </c>
      <c r="C48" s="1">
        <v>30237</v>
      </c>
      <c r="D48" s="1">
        <v>20619</v>
      </c>
      <c r="E48" s="1">
        <v>0.796</v>
      </c>
      <c r="F48" s="1">
        <v>0.924</v>
      </c>
      <c r="G48" s="1">
        <v>0.782</v>
      </c>
      <c r="H48" s="1">
        <v>0.936</v>
      </c>
      <c r="I48" s="1">
        <v>1.046</v>
      </c>
      <c r="J48" s="1">
        <v>0.773</v>
      </c>
      <c r="K48" s="1">
        <v>20619</v>
      </c>
      <c r="L48" s="1">
        <v>20648</v>
      </c>
      <c r="M48" s="2">
        <f t="shared" si="0"/>
        <v>1.0014064697609</v>
      </c>
      <c r="N48" s="1">
        <v>35648</v>
      </c>
      <c r="O48" s="2">
        <f t="shared" si="1"/>
        <v>1.72889082884718</v>
      </c>
      <c r="P48" s="1">
        <v>33292</v>
      </c>
      <c r="Q48" s="2">
        <f t="shared" si="10"/>
        <v>1.61462728551336</v>
      </c>
      <c r="S48" s="1">
        <f t="shared" si="9"/>
        <v>0.861471861471861</v>
      </c>
      <c r="T48" s="1">
        <f t="shared" si="3"/>
        <v>1.01790281329923</v>
      </c>
      <c r="U48" s="1">
        <f t="shared" si="11"/>
        <v>0.85042735042735</v>
      </c>
      <c r="V48" s="1">
        <f t="shared" si="5"/>
        <v>0.760994263862333</v>
      </c>
      <c r="W48" s="1">
        <f t="shared" si="6"/>
        <v>1.02975420439845</v>
      </c>
    </row>
    <row r="49" spans="1:23">
      <c r="A49" s="1" t="s">
        <v>66</v>
      </c>
      <c r="B49" s="1">
        <v>23052</v>
      </c>
      <c r="C49" s="1">
        <v>23052</v>
      </c>
      <c r="D49" s="1">
        <v>320606</v>
      </c>
      <c r="E49" s="1">
        <v>6.135</v>
      </c>
      <c r="F49" s="1">
        <v>5.505</v>
      </c>
      <c r="G49" s="1">
        <v>5.292</v>
      </c>
      <c r="H49" s="1">
        <v>5.543</v>
      </c>
      <c r="I49" s="1">
        <v>4.293</v>
      </c>
      <c r="J49" s="1">
        <v>4.904</v>
      </c>
      <c r="K49" s="1">
        <v>320606</v>
      </c>
      <c r="L49" s="1">
        <v>321758</v>
      </c>
      <c r="M49" s="2">
        <f t="shared" si="0"/>
        <v>1.00359319538624</v>
      </c>
      <c r="N49" s="1">
        <v>422744</v>
      </c>
      <c r="O49" s="2">
        <f t="shared" si="1"/>
        <v>1.31857794302041</v>
      </c>
      <c r="P49" s="1">
        <v>196486</v>
      </c>
      <c r="Q49" s="2">
        <f t="shared" si="10"/>
        <v>0.612858149878667</v>
      </c>
      <c r="S49" s="1">
        <f t="shared" si="9"/>
        <v>1.11444141689373</v>
      </c>
      <c r="T49" s="1">
        <f t="shared" si="3"/>
        <v>1.15929705215419</v>
      </c>
      <c r="U49" s="1">
        <f t="shared" si="11"/>
        <v>1.10680137109868</v>
      </c>
      <c r="V49" s="1">
        <f t="shared" si="5"/>
        <v>1.42907058001398</v>
      </c>
      <c r="W49" s="1">
        <f t="shared" si="6"/>
        <v>1.25101957585644</v>
      </c>
    </row>
    <row r="50" spans="1:23">
      <c r="A50" s="1" t="s">
        <v>67</v>
      </c>
      <c r="B50" s="1">
        <v>25503</v>
      </c>
      <c r="C50" s="1">
        <v>25503</v>
      </c>
      <c r="D50" s="1">
        <v>15525</v>
      </c>
      <c r="E50" s="1">
        <v>0.713</v>
      </c>
      <c r="F50" s="1">
        <v>0.809</v>
      </c>
      <c r="G50" s="1">
        <v>0.641</v>
      </c>
      <c r="H50" s="1">
        <v>0.858</v>
      </c>
      <c r="I50" s="1">
        <v>0.779</v>
      </c>
      <c r="J50" s="1">
        <v>0.751</v>
      </c>
      <c r="K50" s="1">
        <v>15525</v>
      </c>
      <c r="L50" s="1">
        <v>15572</v>
      </c>
      <c r="M50" s="2">
        <f t="shared" si="0"/>
        <v>1.00302737520129</v>
      </c>
      <c r="N50" s="1">
        <v>29698</v>
      </c>
      <c r="O50" s="2">
        <f t="shared" si="1"/>
        <v>1.91291465378422</v>
      </c>
      <c r="P50" s="1">
        <v>26522</v>
      </c>
      <c r="Q50" s="2">
        <f t="shared" si="10"/>
        <v>1.70834138486312</v>
      </c>
      <c r="S50" s="1">
        <f t="shared" si="9"/>
        <v>0.881334981458591</v>
      </c>
      <c r="T50" s="1">
        <f t="shared" si="3"/>
        <v>1.11232449297972</v>
      </c>
      <c r="U50" s="1">
        <f t="shared" si="11"/>
        <v>0.831002331002331</v>
      </c>
      <c r="V50" s="1">
        <f t="shared" si="5"/>
        <v>0.915275994865212</v>
      </c>
      <c r="W50" s="1">
        <f t="shared" si="6"/>
        <v>0.949400798934754</v>
      </c>
    </row>
    <row r="51" spans="1:23">
      <c r="A51" s="1" t="s">
        <v>68</v>
      </c>
      <c r="B51" s="1">
        <v>8032</v>
      </c>
      <c r="C51" s="1">
        <v>8032</v>
      </c>
      <c r="D51" s="1">
        <v>10485</v>
      </c>
      <c r="E51" s="1">
        <v>0.332</v>
      </c>
      <c r="F51" s="1">
        <v>0.403</v>
      </c>
      <c r="G51" s="1">
        <v>0.258</v>
      </c>
      <c r="H51" s="1">
        <v>0.36</v>
      </c>
      <c r="I51" s="1">
        <v>0.331</v>
      </c>
      <c r="J51" s="1">
        <v>0.369</v>
      </c>
      <c r="K51" s="1">
        <v>10485</v>
      </c>
      <c r="L51" s="1">
        <v>10536</v>
      </c>
      <c r="M51" s="2">
        <f t="shared" si="0"/>
        <v>1.00486409155937</v>
      </c>
      <c r="N51" s="1">
        <v>16764</v>
      </c>
      <c r="O51" s="2">
        <f t="shared" si="1"/>
        <v>1.59885550786838</v>
      </c>
      <c r="P51" s="1">
        <v>11520</v>
      </c>
      <c r="Q51" s="2">
        <f t="shared" si="10"/>
        <v>1.09871244635193</v>
      </c>
      <c r="S51" s="1">
        <f t="shared" si="9"/>
        <v>0.823821339950372</v>
      </c>
      <c r="T51" s="1">
        <f t="shared" si="3"/>
        <v>1.28682170542636</v>
      </c>
      <c r="U51" s="1">
        <f t="shared" si="11"/>
        <v>0.922222222222222</v>
      </c>
      <c r="V51" s="1">
        <f t="shared" si="5"/>
        <v>1.00302114803625</v>
      </c>
      <c r="W51" s="1">
        <f t="shared" si="6"/>
        <v>0.899728997289973</v>
      </c>
    </row>
    <row r="52" spans="1:23">
      <c r="A52" s="1" t="s">
        <v>69</v>
      </c>
      <c r="B52" s="1">
        <v>46772</v>
      </c>
      <c r="C52" s="1">
        <v>46772</v>
      </c>
      <c r="D52" s="1">
        <v>46772</v>
      </c>
      <c r="E52" s="1">
        <v>1.533</v>
      </c>
      <c r="F52" s="1">
        <v>1.588</v>
      </c>
      <c r="G52" s="1">
        <v>1.721</v>
      </c>
      <c r="H52" s="1">
        <v>2.139</v>
      </c>
      <c r="I52" s="1">
        <v>2.21</v>
      </c>
      <c r="J52" s="1">
        <v>1.505</v>
      </c>
      <c r="K52" s="1">
        <v>46772</v>
      </c>
      <c r="L52" s="1">
        <v>46772</v>
      </c>
      <c r="M52" s="2">
        <f t="shared" si="0"/>
        <v>1</v>
      </c>
      <c r="N52" s="1">
        <v>93544</v>
      </c>
      <c r="O52" s="2">
        <f t="shared" si="1"/>
        <v>2</v>
      </c>
      <c r="P52" s="1">
        <v>46772</v>
      </c>
      <c r="Q52" s="2">
        <f t="shared" si="10"/>
        <v>1</v>
      </c>
      <c r="S52" s="1">
        <f t="shared" si="9"/>
        <v>0.96536523929471</v>
      </c>
      <c r="T52" s="1">
        <f t="shared" si="3"/>
        <v>0.89076118535735</v>
      </c>
      <c r="U52" s="1">
        <f t="shared" si="11"/>
        <v>0.716690042075736</v>
      </c>
      <c r="V52" s="1">
        <f t="shared" si="5"/>
        <v>0.693665158371041</v>
      </c>
      <c r="W52" s="1">
        <f t="shared" si="6"/>
        <v>1.01860465116279</v>
      </c>
    </row>
    <row r="53" spans="1:23">
      <c r="A53" s="1" t="s">
        <v>70</v>
      </c>
      <c r="B53" s="1">
        <v>245874</v>
      </c>
      <c r="C53" s="1">
        <v>245874</v>
      </c>
      <c r="D53" s="1">
        <v>13150496</v>
      </c>
      <c r="E53" s="1">
        <v>338.684</v>
      </c>
      <c r="F53" s="1">
        <v>285.215</v>
      </c>
      <c r="G53" s="1">
        <v>290.719</v>
      </c>
      <c r="H53" s="1">
        <v>196.264</v>
      </c>
      <c r="I53" s="1">
        <v>145.829</v>
      </c>
      <c r="J53" s="1">
        <v>157.181</v>
      </c>
      <c r="K53" s="1">
        <v>13150496</v>
      </c>
      <c r="L53" s="1">
        <v>13150598</v>
      </c>
      <c r="M53" s="2">
        <f t="shared" si="0"/>
        <v>1.00000775636143</v>
      </c>
      <c r="N53" s="1">
        <v>13150710</v>
      </c>
      <c r="O53" s="2">
        <f t="shared" si="1"/>
        <v>1.00001627315046</v>
      </c>
      <c r="P53" s="1">
        <v>6821118</v>
      </c>
      <c r="Q53" s="2">
        <f t="shared" si="10"/>
        <v>0.51869663319163</v>
      </c>
      <c r="S53" s="1">
        <f t="shared" si="9"/>
        <v>1.18746910225619</v>
      </c>
      <c r="T53" s="1">
        <f t="shared" si="3"/>
        <v>1.16498749651726</v>
      </c>
      <c r="U53" s="1">
        <f t="shared" si="11"/>
        <v>1.72565523988098</v>
      </c>
      <c r="V53" s="1">
        <f t="shared" si="5"/>
        <v>2.32247358207215</v>
      </c>
      <c r="W53" s="1">
        <f t="shared" si="6"/>
        <v>2.15473880430841</v>
      </c>
    </row>
    <row r="54" spans="1:23">
      <c r="A54" s="1" t="s">
        <v>71</v>
      </c>
      <c r="B54" s="1">
        <v>8219</v>
      </c>
      <c r="C54" s="1">
        <v>8219</v>
      </c>
      <c r="D54" s="1">
        <v>242669</v>
      </c>
      <c r="E54" s="1">
        <v>4.39</v>
      </c>
      <c r="F54" s="1">
        <v>3.867</v>
      </c>
      <c r="G54" s="1">
        <v>3.633</v>
      </c>
      <c r="H54" s="1">
        <v>4.741</v>
      </c>
      <c r="I54" s="1">
        <v>3.433</v>
      </c>
      <c r="J54" s="1">
        <v>3.362</v>
      </c>
      <c r="K54" s="1">
        <v>242669</v>
      </c>
      <c r="L54" s="1">
        <v>242822</v>
      </c>
      <c r="M54" s="2">
        <f t="shared" si="0"/>
        <v>1.00063048844311</v>
      </c>
      <c r="N54" s="1">
        <v>398220</v>
      </c>
      <c r="O54" s="2">
        <f t="shared" si="1"/>
        <v>1.64100070466355</v>
      </c>
      <c r="P54" s="1">
        <v>166992</v>
      </c>
      <c r="Q54" s="2">
        <f t="shared" si="10"/>
        <v>0.688147229353564</v>
      </c>
      <c r="S54" s="1">
        <f t="shared" si="9"/>
        <v>1.13524696146884</v>
      </c>
      <c r="T54" s="1">
        <f t="shared" si="3"/>
        <v>1.20836774015965</v>
      </c>
      <c r="U54" s="1">
        <f t="shared" si="11"/>
        <v>0.925964986289812</v>
      </c>
      <c r="V54" s="1">
        <f t="shared" si="5"/>
        <v>1.27876492863385</v>
      </c>
      <c r="W54" s="1">
        <f t="shared" si="6"/>
        <v>1.30577037477692</v>
      </c>
    </row>
    <row r="55" spans="1:23">
      <c r="A55" s="1" t="s">
        <v>72</v>
      </c>
      <c r="B55" s="1">
        <v>60012</v>
      </c>
      <c r="C55" s="1">
        <v>60012</v>
      </c>
      <c r="D55" s="1">
        <v>640033</v>
      </c>
      <c r="E55" s="1">
        <v>13.899</v>
      </c>
      <c r="F55" s="1">
        <v>15.909</v>
      </c>
      <c r="G55" s="1">
        <v>13.238</v>
      </c>
      <c r="H55" s="1">
        <v>11.256</v>
      </c>
      <c r="I55" s="1">
        <v>10.235</v>
      </c>
      <c r="J55" s="1">
        <v>12.011</v>
      </c>
      <c r="K55" s="1">
        <v>640033</v>
      </c>
      <c r="L55" s="1">
        <v>680042</v>
      </c>
      <c r="M55" s="2">
        <f t="shared" si="0"/>
        <v>1.06251083928485</v>
      </c>
      <c r="N55" s="1">
        <v>720050</v>
      </c>
      <c r="O55" s="2">
        <f t="shared" si="1"/>
        <v>1.12502011615026</v>
      </c>
      <c r="P55" s="1">
        <v>380024</v>
      </c>
      <c r="Q55" s="2">
        <f t="shared" si="10"/>
        <v>0.593756884410648</v>
      </c>
      <c r="S55" s="1">
        <f t="shared" si="9"/>
        <v>0.873656420893834</v>
      </c>
      <c r="T55" s="1">
        <f t="shared" si="3"/>
        <v>1.04993201389938</v>
      </c>
      <c r="U55" s="1">
        <f t="shared" si="11"/>
        <v>1.23480810234542</v>
      </c>
      <c r="V55" s="1">
        <f t="shared" si="5"/>
        <v>1.35798729848559</v>
      </c>
      <c r="W55" s="1">
        <f t="shared" si="6"/>
        <v>1.15718924319374</v>
      </c>
    </row>
    <row r="56" spans="1:23">
      <c r="A56" s="1" t="s">
        <v>73</v>
      </c>
      <c r="B56" s="1">
        <v>30004</v>
      </c>
      <c r="C56" s="1">
        <v>30004</v>
      </c>
      <c r="D56" s="1">
        <v>150009</v>
      </c>
      <c r="E56" s="1">
        <v>3.858</v>
      </c>
      <c r="F56" s="1">
        <v>4.059</v>
      </c>
      <c r="G56" s="1">
        <v>3.057</v>
      </c>
      <c r="H56" s="1">
        <v>4.274</v>
      </c>
      <c r="I56" s="1">
        <v>3.721</v>
      </c>
      <c r="J56" s="1">
        <v>2.877</v>
      </c>
      <c r="K56" s="1">
        <v>150009</v>
      </c>
      <c r="L56" s="1">
        <v>160008</v>
      </c>
      <c r="M56" s="2">
        <f t="shared" si="0"/>
        <v>1.06665600063996</v>
      </c>
      <c r="N56" s="1">
        <v>240010</v>
      </c>
      <c r="O56" s="2">
        <f t="shared" si="1"/>
        <v>1.59997066842656</v>
      </c>
      <c r="P56" s="1">
        <v>130006</v>
      </c>
      <c r="Q56" s="2">
        <f t="shared" si="10"/>
        <v>0.866654667386623</v>
      </c>
      <c r="S56" s="1">
        <f t="shared" si="9"/>
        <v>0.950480413895048</v>
      </c>
      <c r="T56" s="1">
        <f t="shared" si="3"/>
        <v>1.26202158979392</v>
      </c>
      <c r="U56" s="1">
        <f t="shared" si="11"/>
        <v>0.902667290594291</v>
      </c>
      <c r="V56" s="1">
        <f t="shared" si="5"/>
        <v>1.03681805966138</v>
      </c>
      <c r="W56" s="1">
        <f t="shared" si="6"/>
        <v>1.34098018769552</v>
      </c>
    </row>
    <row r="57" spans="1:23">
      <c r="A57" s="1" t="s">
        <v>74</v>
      </c>
      <c r="B57" s="1">
        <v>30003</v>
      </c>
      <c r="C57" s="1">
        <v>30003</v>
      </c>
      <c r="D57" s="1">
        <v>120000</v>
      </c>
      <c r="E57" s="1">
        <v>3.572</v>
      </c>
      <c r="F57" s="1">
        <v>4.904</v>
      </c>
      <c r="G57" s="1">
        <v>2.623</v>
      </c>
      <c r="H57" s="1">
        <v>4.17</v>
      </c>
      <c r="I57" s="1">
        <v>2.135</v>
      </c>
      <c r="J57" s="1">
        <v>2.819</v>
      </c>
      <c r="K57" s="1">
        <v>120000</v>
      </c>
      <c r="L57" s="1">
        <v>129998</v>
      </c>
      <c r="M57" s="2">
        <f t="shared" si="0"/>
        <v>1.08331666666667</v>
      </c>
      <c r="N57" s="1">
        <v>189994</v>
      </c>
      <c r="O57" s="2">
        <f t="shared" si="1"/>
        <v>1.58328333333333</v>
      </c>
      <c r="P57" s="1">
        <v>80008</v>
      </c>
      <c r="Q57" s="2">
        <f t="shared" si="10"/>
        <v>0.666733333333333</v>
      </c>
      <c r="S57" s="1">
        <f t="shared" si="9"/>
        <v>0.728384991843393</v>
      </c>
      <c r="T57" s="1">
        <f t="shared" si="3"/>
        <v>1.36179946626001</v>
      </c>
      <c r="U57" s="1">
        <f t="shared" si="11"/>
        <v>0.856594724220624</v>
      </c>
      <c r="V57" s="1">
        <f t="shared" si="5"/>
        <v>1.67306791569087</v>
      </c>
      <c r="W57" s="1">
        <f t="shared" si="6"/>
        <v>1.26711599858106</v>
      </c>
    </row>
    <row r="58" spans="1:23">
      <c r="A58" s="1" t="s">
        <v>75</v>
      </c>
      <c r="B58" s="1">
        <v>10001</v>
      </c>
      <c r="C58" s="1">
        <v>10001</v>
      </c>
      <c r="D58" s="1">
        <v>69991</v>
      </c>
      <c r="E58" s="1">
        <v>1.259</v>
      </c>
      <c r="F58" s="1">
        <v>1.2</v>
      </c>
      <c r="G58" s="1">
        <v>1.274</v>
      </c>
      <c r="H58" s="1">
        <v>1.228</v>
      </c>
      <c r="I58" s="1">
        <v>0.973</v>
      </c>
      <c r="J58" s="1">
        <v>1.146</v>
      </c>
      <c r="K58" s="1">
        <v>69991</v>
      </c>
      <c r="L58" s="1">
        <v>79984</v>
      </c>
      <c r="M58" s="2">
        <f t="shared" si="0"/>
        <v>1.14277549970711</v>
      </c>
      <c r="N58" s="1">
        <v>89984</v>
      </c>
      <c r="O58" s="2">
        <f t="shared" si="1"/>
        <v>1.28565101227301</v>
      </c>
      <c r="P58" s="1">
        <v>39998</v>
      </c>
      <c r="Q58" s="2">
        <f t="shared" si="10"/>
        <v>0.571473475161092</v>
      </c>
      <c r="S58" s="1">
        <f t="shared" si="9"/>
        <v>1.04916666666667</v>
      </c>
      <c r="T58" s="1">
        <f t="shared" si="3"/>
        <v>0.988226059654631</v>
      </c>
      <c r="U58" s="1">
        <f t="shared" si="11"/>
        <v>1.02524429967427</v>
      </c>
      <c r="V58" s="1">
        <f t="shared" si="5"/>
        <v>1.29393627954779</v>
      </c>
      <c r="W58" s="1">
        <f t="shared" si="6"/>
        <v>1.09860383944154</v>
      </c>
    </row>
    <row r="59" spans="1:23">
      <c r="A59" s="1" t="s">
        <v>76</v>
      </c>
      <c r="B59" s="1">
        <v>227362</v>
      </c>
      <c r="C59" s="1">
        <v>227362</v>
      </c>
      <c r="D59" s="1">
        <v>11288630</v>
      </c>
      <c r="E59" s="1">
        <v>296.452</v>
      </c>
      <c r="F59" s="1">
        <v>259.927</v>
      </c>
      <c r="G59" s="1">
        <v>256.835</v>
      </c>
      <c r="H59" s="1">
        <v>201.407</v>
      </c>
      <c r="I59" s="1">
        <v>152.642</v>
      </c>
      <c r="J59" s="1">
        <v>151.612</v>
      </c>
      <c r="K59" s="1">
        <v>11288630</v>
      </c>
      <c r="L59" s="1">
        <v>11296974</v>
      </c>
      <c r="M59" s="2">
        <f t="shared" si="0"/>
        <v>1.00073915080927</v>
      </c>
      <c r="N59" s="1">
        <v>11514522</v>
      </c>
      <c r="O59" s="2">
        <f t="shared" si="1"/>
        <v>1.02001057701422</v>
      </c>
      <c r="P59" s="1">
        <v>5901180</v>
      </c>
      <c r="Q59" s="2">
        <f t="shared" si="10"/>
        <v>0.52275431119631</v>
      </c>
      <c r="S59" s="1">
        <f t="shared" si="9"/>
        <v>1.14052022298568</v>
      </c>
      <c r="T59" s="1">
        <f t="shared" si="3"/>
        <v>1.154250783577</v>
      </c>
      <c r="U59" s="1">
        <f t="shared" si="11"/>
        <v>1.47190514728882</v>
      </c>
      <c r="V59" s="1">
        <f t="shared" si="5"/>
        <v>1.94213912291506</v>
      </c>
      <c r="W59" s="1">
        <f t="shared" si="6"/>
        <v>1.95533335092209</v>
      </c>
    </row>
    <row r="60" spans="1:23">
      <c r="A60" s="1" t="s">
        <v>77</v>
      </c>
      <c r="B60" s="1">
        <v>141347</v>
      </c>
      <c r="C60" s="1">
        <v>141347</v>
      </c>
      <c r="D60" s="1">
        <v>7339667</v>
      </c>
      <c r="E60" s="1">
        <v>187.086</v>
      </c>
      <c r="F60" s="1">
        <v>164.251</v>
      </c>
      <c r="G60" s="1">
        <v>164.598</v>
      </c>
      <c r="H60" s="1">
        <v>124.715</v>
      </c>
      <c r="I60" s="1">
        <v>97.072</v>
      </c>
      <c r="J60" s="1">
        <v>96.45</v>
      </c>
      <c r="K60" s="1">
        <v>7339667</v>
      </c>
      <c r="L60" s="1">
        <v>7344990</v>
      </c>
      <c r="M60" s="2">
        <f t="shared" si="0"/>
        <v>1.00072523726213</v>
      </c>
      <c r="N60" s="1">
        <v>7429994</v>
      </c>
      <c r="O60" s="2">
        <f t="shared" si="1"/>
        <v>1.01230668911818</v>
      </c>
      <c r="P60" s="1">
        <v>3822930</v>
      </c>
      <c r="Q60" s="2">
        <f t="shared" si="10"/>
        <v>0.520858780105419</v>
      </c>
      <c r="S60" s="1">
        <f t="shared" si="9"/>
        <v>1.13902502876695</v>
      </c>
      <c r="T60" s="1">
        <f t="shared" si="3"/>
        <v>1.13662377428644</v>
      </c>
      <c r="U60" s="1">
        <f t="shared" si="11"/>
        <v>1.50010824680271</v>
      </c>
      <c r="V60" s="1">
        <f t="shared" si="5"/>
        <v>1.92729108290753</v>
      </c>
      <c r="W60" s="1">
        <f t="shared" si="6"/>
        <v>1.9397200622084</v>
      </c>
    </row>
    <row r="61" spans="1:23">
      <c r="A61" s="1" t="s">
        <v>78</v>
      </c>
      <c r="B61" s="1">
        <v>148770</v>
      </c>
      <c r="C61" s="1">
        <v>148770</v>
      </c>
      <c r="D61" s="1">
        <v>10644002</v>
      </c>
      <c r="E61" s="1">
        <v>278.618</v>
      </c>
      <c r="F61" s="1">
        <v>235.052</v>
      </c>
      <c r="G61" s="1">
        <v>235.071</v>
      </c>
      <c r="H61" s="1">
        <v>201.077</v>
      </c>
      <c r="I61" s="1">
        <v>145.825</v>
      </c>
      <c r="J61" s="1">
        <v>130.626</v>
      </c>
      <c r="K61" s="1">
        <v>10644002</v>
      </c>
      <c r="L61" s="1">
        <v>10657458</v>
      </c>
      <c r="M61" s="2">
        <f t="shared" si="0"/>
        <v>1.00126418615855</v>
      </c>
      <c r="N61" s="1">
        <v>11776396</v>
      </c>
      <c r="O61" s="2">
        <f t="shared" si="1"/>
        <v>1.10638799203533</v>
      </c>
      <c r="P61" s="1">
        <v>5553694</v>
      </c>
      <c r="Q61" s="2">
        <f t="shared" si="10"/>
        <v>0.521767470543504</v>
      </c>
      <c r="S61" s="1">
        <f t="shared" si="9"/>
        <v>1.18534622126168</v>
      </c>
      <c r="T61" s="1">
        <f t="shared" si="3"/>
        <v>1.1852504137048</v>
      </c>
      <c r="U61" s="1">
        <f t="shared" si="11"/>
        <v>1.38562839111385</v>
      </c>
      <c r="V61" s="1">
        <f t="shared" si="5"/>
        <v>1.91063260757758</v>
      </c>
      <c r="W61" s="1">
        <f t="shared" si="6"/>
        <v>2.132944436789</v>
      </c>
    </row>
    <row r="62" spans="1:23">
      <c r="A62" s="1" t="s">
        <v>79</v>
      </c>
      <c r="B62" s="1">
        <v>17546</v>
      </c>
      <c r="C62" s="1">
        <v>17546</v>
      </c>
      <c r="D62" s="1">
        <v>121938</v>
      </c>
      <c r="E62" s="1">
        <v>2.257</v>
      </c>
      <c r="F62" s="1">
        <v>2.497</v>
      </c>
      <c r="G62" s="1">
        <v>2.041</v>
      </c>
      <c r="H62" s="1">
        <v>2.297</v>
      </c>
      <c r="I62" s="1">
        <v>2.031</v>
      </c>
      <c r="J62" s="1">
        <v>2.187</v>
      </c>
      <c r="K62" s="1">
        <v>121938</v>
      </c>
      <c r="L62" s="1">
        <v>121986</v>
      </c>
      <c r="M62" s="2">
        <f t="shared" si="0"/>
        <v>1.00039364267087</v>
      </c>
      <c r="N62" s="1">
        <v>143478</v>
      </c>
      <c r="O62" s="2">
        <f t="shared" si="1"/>
        <v>1.1766471485509</v>
      </c>
      <c r="P62" s="1">
        <v>71790</v>
      </c>
      <c r="Q62" s="2">
        <f t="shared" si="10"/>
        <v>0.588741819613246</v>
      </c>
      <c r="S62" s="1">
        <f t="shared" si="9"/>
        <v>0.903884661593913</v>
      </c>
      <c r="T62" s="1">
        <f t="shared" si="3"/>
        <v>1.10583047525723</v>
      </c>
      <c r="U62" s="1">
        <f t="shared" si="11"/>
        <v>0.982585981715281</v>
      </c>
      <c r="V62" s="1">
        <f t="shared" si="5"/>
        <v>1.11127523387494</v>
      </c>
      <c r="W62" s="1">
        <f t="shared" si="6"/>
        <v>1.03200731595793</v>
      </c>
    </row>
    <row r="63" spans="1:23">
      <c r="A63" s="1" t="s">
        <v>80</v>
      </c>
      <c r="B63" s="1">
        <v>18589</v>
      </c>
      <c r="C63" s="1">
        <v>18589</v>
      </c>
      <c r="D63" s="1">
        <v>129281</v>
      </c>
      <c r="E63" s="1">
        <v>2.44</v>
      </c>
      <c r="F63" s="1">
        <v>2.687</v>
      </c>
      <c r="G63" s="1">
        <v>2.276</v>
      </c>
      <c r="H63" s="1">
        <v>2.411</v>
      </c>
      <c r="I63" s="1">
        <v>2.149</v>
      </c>
      <c r="J63" s="1">
        <v>2.39</v>
      </c>
      <c r="K63" s="1">
        <v>129281</v>
      </c>
      <c r="L63" s="1">
        <v>129314</v>
      </c>
      <c r="M63" s="2">
        <f t="shared" si="0"/>
        <v>1.00025525792653</v>
      </c>
      <c r="N63" s="1">
        <v>151346</v>
      </c>
      <c r="O63" s="2">
        <f t="shared" si="1"/>
        <v>1.1706747317858</v>
      </c>
      <c r="P63" s="1">
        <v>75734</v>
      </c>
      <c r="Q63" s="2">
        <f t="shared" si="10"/>
        <v>0.58580920630255</v>
      </c>
      <c r="S63" s="1">
        <f t="shared" si="9"/>
        <v>0.9080759211016</v>
      </c>
      <c r="T63" s="1">
        <f t="shared" si="3"/>
        <v>1.07205623901582</v>
      </c>
      <c r="U63" s="1">
        <f t="shared" si="11"/>
        <v>1.0120282040647</v>
      </c>
      <c r="V63" s="1">
        <f t="shared" si="5"/>
        <v>1.13541181945091</v>
      </c>
      <c r="W63" s="1">
        <f t="shared" si="6"/>
        <v>1.02092050209205</v>
      </c>
    </row>
    <row r="64" spans="1:23">
      <c r="A64" s="1" t="s">
        <v>81</v>
      </c>
      <c r="B64" s="1">
        <v>19366</v>
      </c>
      <c r="C64" s="1">
        <v>19366</v>
      </c>
      <c r="D64" s="1">
        <v>134748</v>
      </c>
      <c r="E64" s="1">
        <v>2.489</v>
      </c>
      <c r="F64" s="1">
        <v>2.748</v>
      </c>
      <c r="G64" s="1">
        <v>2.321</v>
      </c>
      <c r="H64" s="1">
        <v>2.434</v>
      </c>
      <c r="I64" s="1">
        <v>2.193</v>
      </c>
      <c r="J64" s="1">
        <v>2.363</v>
      </c>
      <c r="K64" s="1">
        <v>134748</v>
      </c>
      <c r="L64" s="1">
        <v>134784</v>
      </c>
      <c r="M64" s="2">
        <f t="shared" si="0"/>
        <v>1.00026716537537</v>
      </c>
      <c r="N64" s="1">
        <v>157276</v>
      </c>
      <c r="O64" s="2">
        <f t="shared" si="1"/>
        <v>1.16718615489655</v>
      </c>
      <c r="P64" s="1">
        <v>78754</v>
      </c>
      <c r="Q64" s="2">
        <f t="shared" si="10"/>
        <v>0.584453943657791</v>
      </c>
      <c r="S64" s="1">
        <f t="shared" si="9"/>
        <v>0.905749636098981</v>
      </c>
      <c r="T64" s="1">
        <f t="shared" si="3"/>
        <v>1.07238259370961</v>
      </c>
      <c r="U64" s="1">
        <f t="shared" si="11"/>
        <v>1.02259654889071</v>
      </c>
      <c r="V64" s="1">
        <f t="shared" si="5"/>
        <v>1.13497492020064</v>
      </c>
      <c r="W64" s="1">
        <f t="shared" si="6"/>
        <v>1.05332204824376</v>
      </c>
    </row>
    <row r="65" spans="1:23">
      <c r="A65" s="1" t="s">
        <v>82</v>
      </c>
      <c r="B65" s="1">
        <v>986703</v>
      </c>
      <c r="C65" s="1">
        <v>986703</v>
      </c>
      <c r="D65" s="1">
        <v>71666325</v>
      </c>
      <c r="E65" s="1">
        <v>1879.35</v>
      </c>
      <c r="F65" s="1">
        <v>1573.19</v>
      </c>
      <c r="G65" s="1">
        <v>1929.02</v>
      </c>
      <c r="H65" s="1">
        <v>1347.06</v>
      </c>
      <c r="I65" s="1">
        <v>946.714</v>
      </c>
      <c r="J65" s="1">
        <v>873.65</v>
      </c>
      <c r="K65" s="1">
        <v>71666325</v>
      </c>
      <c r="L65" s="1">
        <v>71720460</v>
      </c>
      <c r="M65" s="2">
        <f t="shared" si="0"/>
        <v>1.00075537569423</v>
      </c>
      <c r="N65" s="1">
        <v>79058076</v>
      </c>
      <c r="O65" s="2">
        <f t="shared" si="1"/>
        <v>1.1031412033476</v>
      </c>
      <c r="P65" s="1">
        <v>36733804</v>
      </c>
      <c r="Q65" s="2">
        <f t="shared" si="10"/>
        <v>0.512567150610834</v>
      </c>
      <c r="S65" s="1">
        <f t="shared" si="9"/>
        <v>1.19461094972635</v>
      </c>
      <c r="T65" s="1">
        <f t="shared" si="3"/>
        <v>0.974251174171341</v>
      </c>
      <c r="U65" s="1">
        <f t="shared" si="11"/>
        <v>1.39514943655071</v>
      </c>
      <c r="V65" s="1">
        <f t="shared" si="5"/>
        <v>1.9851296167586</v>
      </c>
      <c r="W65" s="1">
        <f t="shared" si="6"/>
        <v>2.15114748469067</v>
      </c>
    </row>
    <row r="66" spans="1:23">
      <c r="A66" s="1" t="s">
        <v>83</v>
      </c>
      <c r="B66" s="1">
        <v>127224</v>
      </c>
      <c r="C66" s="1">
        <v>127224</v>
      </c>
      <c r="D66" s="1">
        <v>6715152</v>
      </c>
      <c r="E66" s="1">
        <v>172.252</v>
      </c>
      <c r="F66" s="1">
        <v>148.965</v>
      </c>
      <c r="G66" s="1">
        <v>140.194</v>
      </c>
      <c r="H66" s="1">
        <v>116.045</v>
      </c>
      <c r="I66" s="1">
        <v>89.046</v>
      </c>
      <c r="J66" s="1">
        <v>89.475</v>
      </c>
      <c r="K66" s="1">
        <v>6715152</v>
      </c>
      <c r="L66" s="1">
        <v>6721968</v>
      </c>
      <c r="M66" s="2">
        <f t="shared" si="0"/>
        <v>1.00101501797726</v>
      </c>
      <c r="N66" s="1">
        <v>7217280</v>
      </c>
      <c r="O66" s="2">
        <f t="shared" si="1"/>
        <v>1.07477537366243</v>
      </c>
      <c r="P66" s="1">
        <v>3492616</v>
      </c>
      <c r="Q66" s="2">
        <f t="shared" si="10"/>
        <v>0.520109745840452</v>
      </c>
      <c r="S66" s="1">
        <f t="shared" si="9"/>
        <v>1.15632531131474</v>
      </c>
      <c r="T66" s="1">
        <f t="shared" si="3"/>
        <v>1.22866884460105</v>
      </c>
      <c r="U66" s="1">
        <f t="shared" si="11"/>
        <v>1.48435520703175</v>
      </c>
      <c r="V66" s="1">
        <f t="shared" si="5"/>
        <v>1.93441591986164</v>
      </c>
      <c r="W66" s="1">
        <f t="shared" si="6"/>
        <v>1.92514110086616</v>
      </c>
    </row>
    <row r="67" spans="1:23">
      <c r="A67" s="1" t="s">
        <v>84</v>
      </c>
      <c r="B67" s="1">
        <v>914898</v>
      </c>
      <c r="C67" s="1">
        <v>914898</v>
      </c>
      <c r="D67" s="1">
        <v>55468422</v>
      </c>
      <c r="E67" s="1">
        <v>1455.43</v>
      </c>
      <c r="F67" s="1">
        <v>2168.15</v>
      </c>
      <c r="G67" s="1">
        <v>1245.88</v>
      </c>
      <c r="H67" s="1">
        <v>1051.51</v>
      </c>
      <c r="I67" s="1">
        <v>730.673</v>
      </c>
      <c r="J67" s="1">
        <v>694.017</v>
      </c>
      <c r="K67" s="1">
        <v>55468422</v>
      </c>
      <c r="L67" s="1">
        <v>55518012</v>
      </c>
      <c r="M67" s="2">
        <f t="shared" ref="M67:M130" si="12">L67/K67</f>
        <v>1.00089402218798</v>
      </c>
      <c r="N67" s="1">
        <v>60184824</v>
      </c>
      <c r="O67" s="2">
        <f t="shared" ref="O67:O130" si="13">N67/K67</f>
        <v>1.08502859518881</v>
      </c>
      <c r="P67" s="1">
        <v>28686534</v>
      </c>
      <c r="Q67" s="2">
        <f t="shared" si="10"/>
        <v>0.51716874152288</v>
      </c>
      <c r="S67" s="1">
        <f t="shared" si="9"/>
        <v>0.671277356271476</v>
      </c>
      <c r="T67" s="1">
        <f t="shared" ref="T67:T130" si="14">E67/G67</f>
        <v>1.16819436863903</v>
      </c>
      <c r="U67" s="1">
        <f t="shared" si="11"/>
        <v>1.38413329402478</v>
      </c>
      <c r="V67" s="1">
        <f t="shared" ref="V67:V130" si="15">E67/I67</f>
        <v>1.99190335485231</v>
      </c>
      <c r="W67" s="1">
        <f t="shared" ref="W67:W130" si="16">E67/J67</f>
        <v>2.0971100131553</v>
      </c>
    </row>
    <row r="68" spans="1:23">
      <c r="A68" s="1" t="s">
        <v>85</v>
      </c>
      <c r="B68" s="1">
        <v>93279</v>
      </c>
      <c r="C68" s="1">
        <v>93279</v>
      </c>
      <c r="D68" s="1">
        <v>1211231</v>
      </c>
      <c r="E68" s="1">
        <v>28.383</v>
      </c>
      <c r="F68" s="1">
        <v>25.868</v>
      </c>
      <c r="G68" s="1">
        <v>25.684</v>
      </c>
      <c r="H68" s="1">
        <v>24.891</v>
      </c>
      <c r="I68" s="1">
        <v>22.805</v>
      </c>
      <c r="J68" s="1">
        <v>27.12</v>
      </c>
      <c r="K68" s="1">
        <v>1211231</v>
      </c>
      <c r="L68" s="1">
        <v>1271190</v>
      </c>
      <c r="M68" s="2">
        <f t="shared" si="12"/>
        <v>1.04950253089625</v>
      </c>
      <c r="N68" s="1">
        <v>1492872</v>
      </c>
      <c r="O68" s="2">
        <f t="shared" si="13"/>
        <v>1.23252459687706</v>
      </c>
      <c r="P68" s="1">
        <v>712490</v>
      </c>
      <c r="Q68" s="2">
        <f t="shared" si="10"/>
        <v>0.58823626541923</v>
      </c>
      <c r="S68" s="1">
        <f t="shared" si="9"/>
        <v>1.09722436987784</v>
      </c>
      <c r="T68" s="1">
        <f t="shared" si="14"/>
        <v>1.1050848777449</v>
      </c>
      <c r="U68" s="1">
        <f t="shared" si="11"/>
        <v>1.14029167168856</v>
      </c>
      <c r="V68" s="1">
        <f t="shared" si="15"/>
        <v>1.24459548344661</v>
      </c>
      <c r="W68" s="1">
        <f t="shared" si="16"/>
        <v>1.04657079646018</v>
      </c>
    </row>
    <row r="69" spans="1:23">
      <c r="A69" s="1" t="s">
        <v>86</v>
      </c>
      <c r="B69" s="1">
        <v>466316</v>
      </c>
      <c r="C69" s="1">
        <v>466316</v>
      </c>
      <c r="D69" s="1">
        <v>1500397</v>
      </c>
      <c r="E69" s="1">
        <v>65.098</v>
      </c>
      <c r="F69" s="1">
        <v>51.852</v>
      </c>
      <c r="G69" s="1">
        <v>50.947</v>
      </c>
      <c r="H69" s="1">
        <v>86.195</v>
      </c>
      <c r="I69" s="1">
        <v>50.029</v>
      </c>
      <c r="J69" s="1">
        <v>45.208</v>
      </c>
      <c r="K69" s="1">
        <v>1500397</v>
      </c>
      <c r="L69" s="1">
        <v>1511388</v>
      </c>
      <c r="M69" s="2">
        <f t="shared" si="12"/>
        <v>1.00732539454558</v>
      </c>
      <c r="N69" s="1">
        <v>2723788</v>
      </c>
      <c r="O69" s="2">
        <f t="shared" si="13"/>
        <v>1.81537819657064</v>
      </c>
      <c r="P69" s="1">
        <v>1076626</v>
      </c>
      <c r="Q69" s="2">
        <f t="shared" si="10"/>
        <v>0.717560752254237</v>
      </c>
      <c r="S69" s="1">
        <f t="shared" si="9"/>
        <v>1.25545784154902</v>
      </c>
      <c r="T69" s="1">
        <f t="shared" si="14"/>
        <v>1.2777592399945</v>
      </c>
      <c r="U69" s="1">
        <f t="shared" si="11"/>
        <v>0.75524102326121</v>
      </c>
      <c r="V69" s="1">
        <f t="shared" si="15"/>
        <v>1.30120530092546</v>
      </c>
      <c r="W69" s="1">
        <f t="shared" si="16"/>
        <v>1.43996637763228</v>
      </c>
    </row>
    <row r="70" spans="1:23">
      <c r="A70" s="1" t="s">
        <v>87</v>
      </c>
      <c r="B70" s="1">
        <v>27607</v>
      </c>
      <c r="C70" s="1">
        <v>27607</v>
      </c>
      <c r="D70" s="1">
        <v>179395</v>
      </c>
      <c r="E70" s="1">
        <v>4.108</v>
      </c>
      <c r="F70" s="1">
        <v>6.031</v>
      </c>
      <c r="G70" s="1">
        <v>3.888</v>
      </c>
      <c r="H70" s="1">
        <v>4.068</v>
      </c>
      <c r="I70" s="1">
        <v>2.922</v>
      </c>
      <c r="J70" s="1">
        <v>3.751</v>
      </c>
      <c r="K70" s="1">
        <v>179395</v>
      </c>
      <c r="L70" s="1">
        <v>179398</v>
      </c>
      <c r="M70" s="2">
        <f t="shared" si="12"/>
        <v>1.0000167228741</v>
      </c>
      <c r="N70" s="1">
        <v>220812</v>
      </c>
      <c r="O70" s="2">
        <f t="shared" si="13"/>
        <v>1.23087042559715</v>
      </c>
      <c r="P70" s="1">
        <v>110408</v>
      </c>
      <c r="Q70" s="2">
        <f t="shared" si="10"/>
        <v>0.615446361381309</v>
      </c>
      <c r="S70" s="1">
        <f t="shared" si="9"/>
        <v>0.681147405073785</v>
      </c>
      <c r="T70" s="1">
        <f t="shared" si="14"/>
        <v>1.05658436213992</v>
      </c>
      <c r="U70" s="1">
        <f t="shared" si="11"/>
        <v>1.00983284169125</v>
      </c>
      <c r="V70" s="1">
        <f t="shared" si="15"/>
        <v>1.40588637919233</v>
      </c>
      <c r="W70" s="1">
        <f t="shared" si="16"/>
        <v>1.09517462010131</v>
      </c>
    </row>
    <row r="71" spans="1:23">
      <c r="A71" s="1" t="s">
        <v>88</v>
      </c>
      <c r="B71" s="1">
        <v>27792</v>
      </c>
      <c r="C71" s="1">
        <v>27792</v>
      </c>
      <c r="D71" s="1">
        <v>173796</v>
      </c>
      <c r="E71" s="1">
        <v>3.508</v>
      </c>
      <c r="F71" s="1">
        <v>3.701</v>
      </c>
      <c r="G71" s="1">
        <v>3.213</v>
      </c>
      <c r="H71" s="1">
        <v>4.559</v>
      </c>
      <c r="I71" s="1">
        <v>3.049</v>
      </c>
      <c r="J71" s="1">
        <v>3.353</v>
      </c>
      <c r="K71" s="1">
        <v>173796</v>
      </c>
      <c r="L71" s="1">
        <v>173834</v>
      </c>
      <c r="M71" s="2">
        <f t="shared" si="12"/>
        <v>1.00021864714953</v>
      </c>
      <c r="N71" s="1">
        <v>298924</v>
      </c>
      <c r="O71" s="2">
        <f t="shared" si="13"/>
        <v>1.71997054017354</v>
      </c>
      <c r="P71" s="1">
        <v>116664</v>
      </c>
      <c r="Q71" s="2">
        <f t="shared" si="10"/>
        <v>0.671269764551543</v>
      </c>
      <c r="S71" s="1">
        <f t="shared" si="9"/>
        <v>0.947851931910294</v>
      </c>
      <c r="T71" s="1">
        <f t="shared" si="14"/>
        <v>1.09181450357921</v>
      </c>
      <c r="U71" s="1">
        <f t="shared" si="11"/>
        <v>0.769466988374644</v>
      </c>
      <c r="V71" s="1">
        <f t="shared" si="15"/>
        <v>1.15054116103641</v>
      </c>
      <c r="W71" s="1">
        <f t="shared" si="16"/>
        <v>1.04622725917089</v>
      </c>
    </row>
    <row r="72" spans="1:23">
      <c r="A72" s="1" t="s">
        <v>89</v>
      </c>
      <c r="B72" s="1">
        <v>2911419</v>
      </c>
      <c r="C72" s="1">
        <v>2911419</v>
      </c>
      <c r="D72" s="1">
        <v>127729899</v>
      </c>
      <c r="E72" s="1">
        <v>3384.6</v>
      </c>
      <c r="F72" s="1">
        <v>2861.88</v>
      </c>
      <c r="G72" s="1">
        <v>2982.1</v>
      </c>
      <c r="H72" s="1">
        <v>2537.25</v>
      </c>
      <c r="I72" s="1">
        <v>1730.46</v>
      </c>
      <c r="J72" s="1">
        <v>2144.31</v>
      </c>
      <c r="K72" s="1">
        <v>127729899</v>
      </c>
      <c r="L72" s="1">
        <v>127788062</v>
      </c>
      <c r="M72" s="2">
        <f t="shared" si="12"/>
        <v>1.00045535932037</v>
      </c>
      <c r="N72" s="1">
        <v>137820556</v>
      </c>
      <c r="O72" s="2">
        <f t="shared" si="13"/>
        <v>1.07899996069049</v>
      </c>
      <c r="P72" s="1">
        <v>67429216</v>
      </c>
      <c r="Q72" s="2">
        <f t="shared" si="10"/>
        <v>0.527904715559197</v>
      </c>
      <c r="S72" s="1">
        <f t="shared" si="9"/>
        <v>1.18264916767999</v>
      </c>
      <c r="T72" s="1">
        <f t="shared" si="14"/>
        <v>1.1349719995976</v>
      </c>
      <c r="U72" s="1">
        <f t="shared" si="11"/>
        <v>1.33396393733373</v>
      </c>
      <c r="V72" s="1">
        <f t="shared" si="15"/>
        <v>1.95589612010679</v>
      </c>
      <c r="W72" s="1">
        <f t="shared" si="16"/>
        <v>1.57840983812975</v>
      </c>
    </row>
    <row r="73" spans="1:23">
      <c r="A73" s="1" t="s">
        <v>90</v>
      </c>
      <c r="B73" s="1">
        <v>10581</v>
      </c>
      <c r="C73" s="1">
        <v>10581</v>
      </c>
      <c r="D73" s="1">
        <v>770901</v>
      </c>
      <c r="E73" s="1">
        <v>15.161</v>
      </c>
      <c r="F73" s="1">
        <v>11.586</v>
      </c>
      <c r="G73" s="1">
        <v>12.129</v>
      </c>
      <c r="H73" s="1">
        <v>10.058</v>
      </c>
      <c r="I73" s="1">
        <v>7.971</v>
      </c>
      <c r="J73" s="1">
        <v>8.705</v>
      </c>
      <c r="K73" s="1">
        <v>770901</v>
      </c>
      <c r="L73" s="1">
        <v>773604</v>
      </c>
      <c r="M73" s="2">
        <f t="shared" si="12"/>
        <v>1.00350628679947</v>
      </c>
      <c r="N73" s="1">
        <v>809670</v>
      </c>
      <c r="O73" s="2">
        <f t="shared" si="13"/>
        <v>1.05029050422817</v>
      </c>
      <c r="P73" s="1">
        <v>395652</v>
      </c>
      <c r="Q73" s="2">
        <f t="shared" si="10"/>
        <v>0.513233216716543</v>
      </c>
      <c r="S73" s="1">
        <f t="shared" ref="S73:S136" si="17">E73/F73</f>
        <v>1.30856205765579</v>
      </c>
      <c r="T73" s="1">
        <f t="shared" si="14"/>
        <v>1.24997938824305</v>
      </c>
      <c r="U73" s="1">
        <f t="shared" si="11"/>
        <v>1.5073573275005</v>
      </c>
      <c r="V73" s="1">
        <f t="shared" si="15"/>
        <v>1.90201982185422</v>
      </c>
      <c r="W73" s="1">
        <f t="shared" si="16"/>
        <v>1.74164273406088</v>
      </c>
    </row>
    <row r="74" spans="1:23">
      <c r="A74" s="1" t="s">
        <v>91</v>
      </c>
      <c r="B74" s="1">
        <v>513351</v>
      </c>
      <c r="C74" s="1">
        <v>513351</v>
      </c>
      <c r="D74" s="1">
        <v>20208051</v>
      </c>
      <c r="E74" s="1">
        <v>490.952</v>
      </c>
      <c r="F74" s="1">
        <v>431.858</v>
      </c>
      <c r="G74" s="1">
        <v>477.684</v>
      </c>
      <c r="H74" s="1">
        <v>361.416</v>
      </c>
      <c r="I74" s="1">
        <v>300.433</v>
      </c>
      <c r="J74" s="1">
        <v>279.128</v>
      </c>
      <c r="K74" s="1">
        <v>20208051</v>
      </c>
      <c r="L74" s="1">
        <v>20235852</v>
      </c>
      <c r="M74" s="2">
        <f t="shared" si="12"/>
        <v>1.00137573880826</v>
      </c>
      <c r="N74" s="1">
        <v>21344940</v>
      </c>
      <c r="O74" s="2">
        <f t="shared" si="13"/>
        <v>1.05625921074724</v>
      </c>
      <c r="P74" s="1">
        <v>10532372</v>
      </c>
      <c r="Q74" s="2">
        <f t="shared" si="10"/>
        <v>0.52119682397872</v>
      </c>
      <c r="S74" s="1">
        <f t="shared" si="17"/>
        <v>1.13683664537881</v>
      </c>
      <c r="T74" s="1">
        <f t="shared" si="14"/>
        <v>1.02777568434362</v>
      </c>
      <c r="U74" s="1">
        <f t="shared" si="11"/>
        <v>1.35841246652057</v>
      </c>
      <c r="V74" s="1">
        <f t="shared" si="15"/>
        <v>1.63414804631981</v>
      </c>
      <c r="W74" s="1">
        <f t="shared" si="16"/>
        <v>1.75887764753088</v>
      </c>
    </row>
    <row r="75" spans="1:23">
      <c r="A75" s="1" t="s">
        <v>92</v>
      </c>
      <c r="B75" s="1">
        <v>3509</v>
      </c>
      <c r="C75" s="1">
        <v>3509</v>
      </c>
      <c r="D75" s="1">
        <v>32157</v>
      </c>
      <c r="E75" s="1">
        <v>0.717</v>
      </c>
      <c r="F75" s="1">
        <v>0.556</v>
      </c>
      <c r="G75" s="1">
        <v>0.471</v>
      </c>
      <c r="H75" s="1">
        <v>0.714</v>
      </c>
      <c r="I75" s="1">
        <v>0.408</v>
      </c>
      <c r="J75" s="1">
        <v>0.649</v>
      </c>
      <c r="K75" s="1">
        <v>32157</v>
      </c>
      <c r="L75" s="1">
        <v>32946</v>
      </c>
      <c r="M75" s="2">
        <f t="shared" si="12"/>
        <v>1.02453587088348</v>
      </c>
      <c r="N75" s="1">
        <v>44730</v>
      </c>
      <c r="O75" s="2">
        <f t="shared" si="13"/>
        <v>1.39098796529527</v>
      </c>
      <c r="P75" s="1">
        <v>19288</v>
      </c>
      <c r="Q75" s="2">
        <f t="shared" si="10"/>
        <v>0.599807195944895</v>
      </c>
      <c r="S75" s="1">
        <f t="shared" si="17"/>
        <v>1.28956834532374</v>
      </c>
      <c r="T75" s="1">
        <f t="shared" si="14"/>
        <v>1.52229299363057</v>
      </c>
      <c r="U75" s="1">
        <f t="shared" si="11"/>
        <v>1.00420168067227</v>
      </c>
      <c r="V75" s="1">
        <f t="shared" si="15"/>
        <v>1.75735294117647</v>
      </c>
      <c r="W75" s="1">
        <f t="shared" si="16"/>
        <v>1.10477657935285</v>
      </c>
    </row>
    <row r="76" spans="1:23">
      <c r="A76" s="1" t="s">
        <v>93</v>
      </c>
      <c r="B76" s="1">
        <v>3792</v>
      </c>
      <c r="C76" s="1">
        <v>3792</v>
      </c>
      <c r="D76" s="1">
        <v>28872</v>
      </c>
      <c r="E76" s="1">
        <v>0.702</v>
      </c>
      <c r="F76" s="1">
        <v>0.541</v>
      </c>
      <c r="G76" s="1">
        <v>0.43</v>
      </c>
      <c r="H76" s="1">
        <v>0.72</v>
      </c>
      <c r="I76" s="1">
        <v>0.368</v>
      </c>
      <c r="J76" s="1">
        <v>0.608</v>
      </c>
      <c r="K76" s="1">
        <v>28872</v>
      </c>
      <c r="L76" s="1">
        <v>29116</v>
      </c>
      <c r="M76" s="2">
        <f t="shared" si="12"/>
        <v>1.00845109448601</v>
      </c>
      <c r="N76" s="1">
        <v>41576</v>
      </c>
      <c r="O76" s="2">
        <f t="shared" si="13"/>
        <v>1.4400110834026</v>
      </c>
      <c r="P76" s="1">
        <v>17266</v>
      </c>
      <c r="Q76" s="2">
        <f t="shared" si="10"/>
        <v>0.598018841784428</v>
      </c>
      <c r="S76" s="1">
        <f t="shared" si="17"/>
        <v>1.29759704251386</v>
      </c>
      <c r="T76" s="1">
        <f t="shared" si="14"/>
        <v>1.63255813953488</v>
      </c>
      <c r="U76" s="1">
        <f t="shared" si="11"/>
        <v>0.975</v>
      </c>
      <c r="V76" s="1">
        <f t="shared" si="15"/>
        <v>1.90760869565217</v>
      </c>
      <c r="W76" s="1">
        <f t="shared" si="16"/>
        <v>1.15460526315789</v>
      </c>
    </row>
    <row r="77" spans="1:23">
      <c r="A77" s="1" t="s">
        <v>94</v>
      </c>
      <c r="B77" s="1">
        <v>3969</v>
      </c>
      <c r="C77" s="1">
        <v>3969</v>
      </c>
      <c r="D77" s="1">
        <v>31079</v>
      </c>
      <c r="E77" s="1">
        <v>0.731</v>
      </c>
      <c r="F77" s="1">
        <v>0.54</v>
      </c>
      <c r="G77" s="1">
        <v>0.484</v>
      </c>
      <c r="H77" s="1">
        <v>0.709</v>
      </c>
      <c r="I77" s="1">
        <v>0.377</v>
      </c>
      <c r="J77" s="1">
        <v>0.652</v>
      </c>
      <c r="K77" s="1">
        <v>31079</v>
      </c>
      <c r="L77" s="1">
        <v>32066</v>
      </c>
      <c r="M77" s="2">
        <f t="shared" si="12"/>
        <v>1.0317577785643</v>
      </c>
      <c r="N77" s="1">
        <v>43716</v>
      </c>
      <c r="O77" s="2">
        <f t="shared" si="13"/>
        <v>1.40660896425239</v>
      </c>
      <c r="P77" s="1">
        <v>18436</v>
      </c>
      <c r="Q77" s="2">
        <f t="shared" si="10"/>
        <v>0.593197979342965</v>
      </c>
      <c r="S77" s="1">
        <f t="shared" si="17"/>
        <v>1.3537037037037</v>
      </c>
      <c r="T77" s="1">
        <f t="shared" si="14"/>
        <v>1.5103305785124</v>
      </c>
      <c r="U77" s="1">
        <f t="shared" si="11"/>
        <v>1.03102961918195</v>
      </c>
      <c r="V77" s="1">
        <f t="shared" si="15"/>
        <v>1.93899204244032</v>
      </c>
      <c r="W77" s="1">
        <f t="shared" si="16"/>
        <v>1.12116564417178</v>
      </c>
    </row>
    <row r="78" spans="1:23">
      <c r="A78" s="1" t="s">
        <v>95</v>
      </c>
      <c r="B78" s="1">
        <v>4119</v>
      </c>
      <c r="C78" s="1">
        <v>4119</v>
      </c>
      <c r="D78" s="1">
        <v>35699</v>
      </c>
      <c r="E78" s="1">
        <v>0.823</v>
      </c>
      <c r="F78" s="1">
        <v>0.646</v>
      </c>
      <c r="G78" s="1">
        <v>0.538</v>
      </c>
      <c r="H78" s="1">
        <v>0.802</v>
      </c>
      <c r="I78" s="1">
        <v>0.439</v>
      </c>
      <c r="J78" s="1">
        <v>0.719</v>
      </c>
      <c r="K78" s="1">
        <v>35699</v>
      </c>
      <c r="L78" s="1">
        <v>36102</v>
      </c>
      <c r="M78" s="2">
        <f t="shared" si="12"/>
        <v>1.01128883161993</v>
      </c>
      <c r="N78" s="1">
        <v>48906</v>
      </c>
      <c r="O78" s="2">
        <f t="shared" si="13"/>
        <v>1.36995434045772</v>
      </c>
      <c r="P78" s="1">
        <v>21052</v>
      </c>
      <c r="Q78" s="2">
        <f t="shared" si="10"/>
        <v>0.589708395193143</v>
      </c>
      <c r="S78" s="1">
        <f t="shared" si="17"/>
        <v>1.27399380804954</v>
      </c>
      <c r="T78" s="1">
        <f t="shared" si="14"/>
        <v>1.52973977695167</v>
      </c>
      <c r="U78" s="1">
        <f t="shared" si="11"/>
        <v>1.02618453865337</v>
      </c>
      <c r="V78" s="1">
        <f t="shared" si="15"/>
        <v>1.874715261959</v>
      </c>
      <c r="W78" s="1">
        <f t="shared" si="16"/>
        <v>1.14464534075104</v>
      </c>
    </row>
    <row r="79" spans="1:23">
      <c r="A79" s="1" t="s">
        <v>96</v>
      </c>
      <c r="B79" s="1">
        <v>3797</v>
      </c>
      <c r="C79" s="1">
        <v>3797</v>
      </c>
      <c r="D79" s="1">
        <v>49635</v>
      </c>
      <c r="E79" s="1">
        <v>1.022</v>
      </c>
      <c r="F79" s="1">
        <v>0.783</v>
      </c>
      <c r="G79" s="1">
        <v>0.716</v>
      </c>
      <c r="H79" s="1">
        <v>0.873</v>
      </c>
      <c r="I79" s="1">
        <v>0.548</v>
      </c>
      <c r="J79" s="1">
        <v>0.745</v>
      </c>
      <c r="K79" s="1">
        <v>49635</v>
      </c>
      <c r="L79" s="1">
        <v>50316</v>
      </c>
      <c r="M79" s="2">
        <f t="shared" si="12"/>
        <v>1.01372015714717</v>
      </c>
      <c r="N79" s="1">
        <v>64134</v>
      </c>
      <c r="O79" s="2">
        <f t="shared" si="13"/>
        <v>1.2921124206709</v>
      </c>
      <c r="P79" s="1">
        <v>28380</v>
      </c>
      <c r="Q79" s="2">
        <f t="shared" ref="Q79:Q142" si="18">P79/K79</f>
        <v>0.571773949833787</v>
      </c>
      <c r="S79" s="1">
        <f t="shared" si="17"/>
        <v>1.30523627075351</v>
      </c>
      <c r="T79" s="1">
        <f t="shared" si="14"/>
        <v>1.42737430167598</v>
      </c>
      <c r="U79" s="1">
        <f t="shared" si="11"/>
        <v>1.17067583046964</v>
      </c>
      <c r="V79" s="1">
        <f t="shared" si="15"/>
        <v>1.86496350364964</v>
      </c>
      <c r="W79" s="1">
        <f t="shared" si="16"/>
        <v>1.37181208053691</v>
      </c>
    </row>
    <row r="80" spans="1:23">
      <c r="A80" s="1" t="s">
        <v>97</v>
      </c>
      <c r="B80" s="1">
        <v>4307</v>
      </c>
      <c r="C80" s="1">
        <v>4307</v>
      </c>
      <c r="D80" s="1">
        <v>34537</v>
      </c>
      <c r="E80" s="1">
        <v>0.798</v>
      </c>
      <c r="F80" s="1">
        <v>0.657</v>
      </c>
      <c r="G80" s="1">
        <v>0.538</v>
      </c>
      <c r="H80" s="1">
        <v>0.789</v>
      </c>
      <c r="I80" s="1">
        <v>0.416</v>
      </c>
      <c r="J80" s="1">
        <v>0.707</v>
      </c>
      <c r="K80" s="1">
        <v>34537</v>
      </c>
      <c r="L80" s="1">
        <v>35384</v>
      </c>
      <c r="M80" s="2">
        <f t="shared" si="12"/>
        <v>1.02452442308249</v>
      </c>
      <c r="N80" s="1">
        <v>48574</v>
      </c>
      <c r="O80" s="2">
        <f t="shared" si="13"/>
        <v>1.40643367982164</v>
      </c>
      <c r="P80" s="1">
        <v>20952</v>
      </c>
      <c r="Q80" s="2">
        <f t="shared" si="18"/>
        <v>0.606653733676926</v>
      </c>
      <c r="S80" s="1">
        <f t="shared" si="17"/>
        <v>1.21461187214612</v>
      </c>
      <c r="T80" s="1">
        <f t="shared" si="14"/>
        <v>1.48327137546468</v>
      </c>
      <c r="U80" s="1">
        <f t="shared" si="11"/>
        <v>1.01140684410646</v>
      </c>
      <c r="V80" s="1">
        <f t="shared" si="15"/>
        <v>1.91826923076923</v>
      </c>
      <c r="W80" s="1">
        <f t="shared" si="16"/>
        <v>1.12871287128713</v>
      </c>
    </row>
    <row r="81" spans="1:23">
      <c r="A81" s="1" t="s">
        <v>98</v>
      </c>
      <c r="B81" s="1">
        <v>4563</v>
      </c>
      <c r="C81" s="1">
        <v>4563</v>
      </c>
      <c r="D81" s="1">
        <v>31375</v>
      </c>
      <c r="E81" s="1">
        <v>0.779</v>
      </c>
      <c r="F81" s="1">
        <v>0.66</v>
      </c>
      <c r="G81" s="1">
        <v>0.494</v>
      </c>
      <c r="H81" s="1">
        <v>0.833</v>
      </c>
      <c r="I81" s="1">
        <v>0.417</v>
      </c>
      <c r="J81" s="1">
        <v>0.692</v>
      </c>
      <c r="K81" s="1">
        <v>31375</v>
      </c>
      <c r="L81" s="1">
        <v>32108</v>
      </c>
      <c r="M81" s="2">
        <f t="shared" si="12"/>
        <v>1.0233625498008</v>
      </c>
      <c r="N81" s="1">
        <v>46528</v>
      </c>
      <c r="O81" s="2">
        <f t="shared" si="13"/>
        <v>1.48296414342629</v>
      </c>
      <c r="P81" s="1">
        <v>19304</v>
      </c>
      <c r="Q81" s="2">
        <f t="shared" si="18"/>
        <v>0.615266932270916</v>
      </c>
      <c r="S81" s="1">
        <f t="shared" si="17"/>
        <v>1.18030303030303</v>
      </c>
      <c r="T81" s="1">
        <f t="shared" si="14"/>
        <v>1.57692307692308</v>
      </c>
      <c r="U81" s="1">
        <f t="shared" si="11"/>
        <v>0.935174069627851</v>
      </c>
      <c r="V81" s="1">
        <f t="shared" si="15"/>
        <v>1.86810551558753</v>
      </c>
      <c r="W81" s="1">
        <f t="shared" si="16"/>
        <v>1.1257225433526</v>
      </c>
    </row>
    <row r="82" spans="1:23">
      <c r="A82" s="1" t="s">
        <v>99</v>
      </c>
      <c r="B82" s="1">
        <v>4598</v>
      </c>
      <c r="C82" s="1">
        <v>4598</v>
      </c>
      <c r="D82" s="1">
        <v>30590</v>
      </c>
      <c r="E82" s="1">
        <v>0.759</v>
      </c>
      <c r="F82" s="1">
        <v>0.667</v>
      </c>
      <c r="G82" s="1">
        <v>0.484</v>
      </c>
      <c r="H82" s="1">
        <v>0.81</v>
      </c>
      <c r="I82" s="1">
        <v>0.422</v>
      </c>
      <c r="J82" s="1">
        <v>0.693</v>
      </c>
      <c r="K82" s="1">
        <v>30590</v>
      </c>
      <c r="L82" s="1">
        <v>30976</v>
      </c>
      <c r="M82" s="2">
        <f t="shared" si="12"/>
        <v>1.01261850277869</v>
      </c>
      <c r="N82" s="1">
        <v>45864</v>
      </c>
      <c r="O82" s="2">
        <f t="shared" si="13"/>
        <v>1.49931350114416</v>
      </c>
      <c r="P82" s="1">
        <v>19110</v>
      </c>
      <c r="Q82" s="2">
        <f t="shared" si="18"/>
        <v>0.624713958810069</v>
      </c>
      <c r="S82" s="1">
        <f t="shared" si="17"/>
        <v>1.13793103448276</v>
      </c>
      <c r="T82" s="1">
        <f t="shared" si="14"/>
        <v>1.56818181818182</v>
      </c>
      <c r="U82" s="1">
        <f t="shared" si="11"/>
        <v>0.937037037037037</v>
      </c>
      <c r="V82" s="1">
        <f t="shared" si="15"/>
        <v>1.79857819905213</v>
      </c>
      <c r="W82" s="1">
        <f t="shared" si="16"/>
        <v>1.0952380952381</v>
      </c>
    </row>
    <row r="83" spans="1:23">
      <c r="A83" s="1" t="s">
        <v>100</v>
      </c>
      <c r="B83" s="1">
        <v>5033</v>
      </c>
      <c r="C83" s="1">
        <v>5033</v>
      </c>
      <c r="D83" s="1">
        <v>43731</v>
      </c>
      <c r="E83" s="1">
        <v>1.012</v>
      </c>
      <c r="F83" s="1">
        <v>0.8</v>
      </c>
      <c r="G83" s="1">
        <v>0.679</v>
      </c>
      <c r="H83" s="1">
        <v>0.985</v>
      </c>
      <c r="I83" s="1">
        <v>0.562</v>
      </c>
      <c r="J83" s="1">
        <v>0.908</v>
      </c>
      <c r="K83" s="1">
        <v>43731</v>
      </c>
      <c r="L83" s="1">
        <v>44524</v>
      </c>
      <c r="M83" s="2">
        <f t="shared" si="12"/>
        <v>1.01813358944456</v>
      </c>
      <c r="N83" s="1">
        <v>60244</v>
      </c>
      <c r="O83" s="2">
        <f t="shared" si="13"/>
        <v>1.37760398801765</v>
      </c>
      <c r="P83" s="1">
        <v>26016</v>
      </c>
      <c r="Q83" s="2">
        <f t="shared" si="18"/>
        <v>0.594909789394251</v>
      </c>
      <c r="S83" s="1">
        <f t="shared" si="17"/>
        <v>1.265</v>
      </c>
      <c r="T83" s="1">
        <f t="shared" si="14"/>
        <v>1.49042709867452</v>
      </c>
      <c r="U83" s="1">
        <f t="shared" ref="U83:U146" si="19">E83/H83</f>
        <v>1.02741116751269</v>
      </c>
      <c r="V83" s="1">
        <f t="shared" si="15"/>
        <v>1.80071174377224</v>
      </c>
      <c r="W83" s="1">
        <f t="shared" si="16"/>
        <v>1.11453744493392</v>
      </c>
    </row>
    <row r="84" spans="1:23">
      <c r="A84" s="1" t="s">
        <v>101</v>
      </c>
      <c r="B84" s="1">
        <v>5321</v>
      </c>
      <c r="C84" s="1">
        <v>5321</v>
      </c>
      <c r="D84" s="1">
        <v>65693</v>
      </c>
      <c r="E84" s="1">
        <v>1.48</v>
      </c>
      <c r="F84" s="1">
        <v>1.079</v>
      </c>
      <c r="G84" s="1">
        <v>0.975</v>
      </c>
      <c r="H84" s="1">
        <v>1.27</v>
      </c>
      <c r="I84" s="1">
        <v>0.687</v>
      </c>
      <c r="J84" s="1">
        <v>1.023</v>
      </c>
      <c r="K84" s="1">
        <v>65693</v>
      </c>
      <c r="L84" s="1">
        <v>66744</v>
      </c>
      <c r="M84" s="2">
        <f t="shared" si="12"/>
        <v>1.01599866043566</v>
      </c>
      <c r="N84" s="1">
        <v>85134</v>
      </c>
      <c r="O84" s="2">
        <f t="shared" si="13"/>
        <v>1.29593716225473</v>
      </c>
      <c r="P84" s="1">
        <v>35972</v>
      </c>
      <c r="Q84" s="2">
        <f t="shared" si="18"/>
        <v>0.547577367451631</v>
      </c>
      <c r="S84" s="1">
        <f t="shared" si="17"/>
        <v>1.37164040778499</v>
      </c>
      <c r="T84" s="1">
        <f t="shared" si="14"/>
        <v>1.51794871794872</v>
      </c>
      <c r="U84" s="1">
        <f t="shared" si="19"/>
        <v>1.16535433070866</v>
      </c>
      <c r="V84" s="1">
        <f t="shared" si="15"/>
        <v>2.15429403202329</v>
      </c>
      <c r="W84" s="1">
        <f t="shared" si="16"/>
        <v>1.44672531769306</v>
      </c>
    </row>
    <row r="85" spans="1:23">
      <c r="A85" s="1" t="s">
        <v>102</v>
      </c>
      <c r="B85" s="1">
        <v>5339</v>
      </c>
      <c r="C85" s="1">
        <v>5339</v>
      </c>
      <c r="D85" s="1">
        <v>78571</v>
      </c>
      <c r="E85" s="1">
        <v>1.691</v>
      </c>
      <c r="F85" s="1">
        <v>1.259</v>
      </c>
      <c r="G85" s="1">
        <v>1.163</v>
      </c>
      <c r="H85" s="1">
        <v>1.378</v>
      </c>
      <c r="I85" s="1">
        <v>0.782</v>
      </c>
      <c r="J85" s="1">
        <v>1.151</v>
      </c>
      <c r="K85" s="1">
        <v>78571</v>
      </c>
      <c r="L85" s="1">
        <v>79112</v>
      </c>
      <c r="M85" s="2">
        <f t="shared" si="12"/>
        <v>1.00688549210268</v>
      </c>
      <c r="N85" s="1">
        <v>96624</v>
      </c>
      <c r="O85" s="2">
        <f t="shared" si="13"/>
        <v>1.22976670781841</v>
      </c>
      <c r="P85" s="1">
        <v>43458</v>
      </c>
      <c r="Q85" s="2">
        <f t="shared" si="18"/>
        <v>0.553104835117282</v>
      </c>
      <c r="S85" s="1">
        <f t="shared" si="17"/>
        <v>1.34312946783161</v>
      </c>
      <c r="T85" s="1">
        <f t="shared" si="14"/>
        <v>1.45399828030954</v>
      </c>
      <c r="U85" s="1">
        <f t="shared" si="19"/>
        <v>1.22714078374456</v>
      </c>
      <c r="V85" s="1">
        <f t="shared" si="15"/>
        <v>2.16240409207161</v>
      </c>
      <c r="W85" s="1">
        <f t="shared" si="16"/>
        <v>1.46915725456125</v>
      </c>
    </row>
    <row r="86" spans="1:23">
      <c r="A86" s="1" t="s">
        <v>103</v>
      </c>
      <c r="B86" s="1">
        <v>5975</v>
      </c>
      <c r="C86" s="1">
        <v>5975</v>
      </c>
      <c r="D86" s="1">
        <v>54471</v>
      </c>
      <c r="E86" s="1">
        <v>1.28</v>
      </c>
      <c r="F86" s="1">
        <v>0.987</v>
      </c>
      <c r="G86" s="1">
        <v>0.83</v>
      </c>
      <c r="H86" s="1">
        <v>1.16</v>
      </c>
      <c r="I86" s="1">
        <v>0.605</v>
      </c>
      <c r="J86" s="1">
        <v>1.094</v>
      </c>
      <c r="K86" s="1">
        <v>54471</v>
      </c>
      <c r="L86" s="1">
        <v>55228</v>
      </c>
      <c r="M86" s="2">
        <f t="shared" si="12"/>
        <v>1.01389730315214</v>
      </c>
      <c r="N86" s="1">
        <v>72310</v>
      </c>
      <c r="O86" s="2">
        <f t="shared" si="13"/>
        <v>1.32749536450588</v>
      </c>
      <c r="P86" s="1">
        <v>31248</v>
      </c>
      <c r="Q86" s="2">
        <f t="shared" si="18"/>
        <v>0.573663050063336</v>
      </c>
      <c r="S86" s="1">
        <f t="shared" si="17"/>
        <v>1.29685916919959</v>
      </c>
      <c r="T86" s="1">
        <f t="shared" si="14"/>
        <v>1.5421686746988</v>
      </c>
      <c r="U86" s="1">
        <f t="shared" si="19"/>
        <v>1.10344827586207</v>
      </c>
      <c r="V86" s="1">
        <f t="shared" si="15"/>
        <v>2.11570247933884</v>
      </c>
      <c r="W86" s="1">
        <f t="shared" si="16"/>
        <v>1.17001828153565</v>
      </c>
    </row>
    <row r="87" spans="1:23">
      <c r="A87" s="1" t="s">
        <v>104</v>
      </c>
      <c r="B87" s="1">
        <v>6317</v>
      </c>
      <c r="C87" s="1">
        <v>6317</v>
      </c>
      <c r="D87" s="1">
        <v>56123</v>
      </c>
      <c r="E87" s="1">
        <v>1.291</v>
      </c>
      <c r="F87" s="1">
        <v>1.036</v>
      </c>
      <c r="G87" s="1">
        <v>0.867</v>
      </c>
      <c r="H87" s="1">
        <v>1.222</v>
      </c>
      <c r="I87" s="1">
        <v>0.664</v>
      </c>
      <c r="J87" s="1">
        <v>1.148</v>
      </c>
      <c r="K87" s="1">
        <v>56123</v>
      </c>
      <c r="L87" s="1">
        <v>56252</v>
      </c>
      <c r="M87" s="2">
        <f t="shared" si="12"/>
        <v>1.00229852288723</v>
      </c>
      <c r="N87" s="1">
        <v>78166</v>
      </c>
      <c r="O87" s="2">
        <f t="shared" si="13"/>
        <v>1.39276232560626</v>
      </c>
      <c r="P87" s="1">
        <v>33194</v>
      </c>
      <c r="Q87" s="2">
        <f t="shared" si="18"/>
        <v>0.591450920300055</v>
      </c>
      <c r="S87" s="1">
        <f t="shared" si="17"/>
        <v>1.246138996139</v>
      </c>
      <c r="T87" s="1">
        <f t="shared" si="14"/>
        <v>1.48904267589389</v>
      </c>
      <c r="U87" s="1">
        <f t="shared" si="19"/>
        <v>1.05646481178396</v>
      </c>
      <c r="V87" s="1">
        <f t="shared" si="15"/>
        <v>1.94427710843373</v>
      </c>
      <c r="W87" s="1">
        <f t="shared" si="16"/>
        <v>1.12456445993031</v>
      </c>
    </row>
    <row r="88" spans="1:23">
      <c r="A88" s="1" t="s">
        <v>105</v>
      </c>
      <c r="B88" s="1">
        <v>6611</v>
      </c>
      <c r="C88" s="1">
        <v>6611</v>
      </c>
      <c r="D88" s="1">
        <v>64333</v>
      </c>
      <c r="E88" s="1">
        <v>1.413</v>
      </c>
      <c r="F88" s="1">
        <v>1.165</v>
      </c>
      <c r="G88" s="1">
        <v>1.012</v>
      </c>
      <c r="H88" s="1">
        <v>1.336</v>
      </c>
      <c r="I88" s="1">
        <v>0.732</v>
      </c>
      <c r="J88" s="1">
        <v>1.325</v>
      </c>
      <c r="K88" s="1">
        <v>64333</v>
      </c>
      <c r="L88" s="1">
        <v>65460</v>
      </c>
      <c r="M88" s="2">
        <f t="shared" si="12"/>
        <v>1.01751822548303</v>
      </c>
      <c r="N88" s="1">
        <v>87364</v>
      </c>
      <c r="O88" s="2">
        <f t="shared" si="13"/>
        <v>1.35799667355789</v>
      </c>
      <c r="P88" s="1">
        <v>37242</v>
      </c>
      <c r="Q88" s="2">
        <f t="shared" si="18"/>
        <v>0.578894191161612</v>
      </c>
      <c r="S88" s="1">
        <f t="shared" si="17"/>
        <v>1.21287553648069</v>
      </c>
      <c r="T88" s="1">
        <f t="shared" si="14"/>
        <v>1.39624505928854</v>
      </c>
      <c r="U88" s="1">
        <f t="shared" si="19"/>
        <v>1.05763473053892</v>
      </c>
      <c r="V88" s="1">
        <f t="shared" si="15"/>
        <v>1.93032786885246</v>
      </c>
      <c r="W88" s="1">
        <f t="shared" si="16"/>
        <v>1.06641509433962</v>
      </c>
    </row>
    <row r="89" spans="1:23">
      <c r="A89" s="1" t="s">
        <v>106</v>
      </c>
      <c r="B89" s="1">
        <v>6537</v>
      </c>
      <c r="C89" s="1">
        <v>6537</v>
      </c>
      <c r="D89" s="1">
        <v>62891</v>
      </c>
      <c r="E89" s="1">
        <v>1.363</v>
      </c>
      <c r="F89" s="1">
        <v>1.102</v>
      </c>
      <c r="G89" s="1">
        <v>1.004</v>
      </c>
      <c r="H89" s="1">
        <v>1.343</v>
      </c>
      <c r="I89" s="1">
        <v>0.775</v>
      </c>
      <c r="J89" s="1">
        <v>1.344</v>
      </c>
      <c r="K89" s="1">
        <v>62891</v>
      </c>
      <c r="L89" s="1">
        <v>64226</v>
      </c>
      <c r="M89" s="2">
        <f t="shared" si="12"/>
        <v>1.02122720262041</v>
      </c>
      <c r="N89" s="1">
        <v>85650</v>
      </c>
      <c r="O89" s="2">
        <f t="shared" si="13"/>
        <v>1.36188007823059</v>
      </c>
      <c r="P89" s="1">
        <v>37284</v>
      </c>
      <c r="Q89" s="2">
        <f t="shared" si="18"/>
        <v>0.592835222845876</v>
      </c>
      <c r="S89" s="1">
        <f t="shared" si="17"/>
        <v>1.23684210526316</v>
      </c>
      <c r="T89" s="1">
        <f t="shared" si="14"/>
        <v>1.35756972111554</v>
      </c>
      <c r="U89" s="1">
        <f t="shared" si="19"/>
        <v>1.01489203276247</v>
      </c>
      <c r="V89" s="1">
        <f t="shared" si="15"/>
        <v>1.75870967741935</v>
      </c>
      <c r="W89" s="1">
        <f t="shared" si="16"/>
        <v>1.0141369047619</v>
      </c>
    </row>
    <row r="90" spans="1:23">
      <c r="A90" s="1" t="s">
        <v>107</v>
      </c>
      <c r="B90" s="1">
        <v>7479</v>
      </c>
      <c r="C90" s="1">
        <v>7479</v>
      </c>
      <c r="D90" s="1">
        <v>65941</v>
      </c>
      <c r="E90" s="1">
        <v>1.561</v>
      </c>
      <c r="F90" s="1">
        <v>1.201</v>
      </c>
      <c r="G90" s="1">
        <v>1.036</v>
      </c>
      <c r="H90" s="1">
        <v>1.518</v>
      </c>
      <c r="I90" s="1">
        <v>0.842</v>
      </c>
      <c r="J90" s="1">
        <v>1.402</v>
      </c>
      <c r="K90" s="1">
        <v>65941</v>
      </c>
      <c r="L90" s="1">
        <v>66288</v>
      </c>
      <c r="M90" s="2">
        <f t="shared" si="12"/>
        <v>1.0052622799169</v>
      </c>
      <c r="N90" s="1">
        <v>91244</v>
      </c>
      <c r="O90" s="2">
        <f t="shared" si="13"/>
        <v>1.38372181192278</v>
      </c>
      <c r="P90" s="1">
        <v>38890</v>
      </c>
      <c r="Q90" s="2">
        <f t="shared" si="18"/>
        <v>0.589769642559258</v>
      </c>
      <c r="S90" s="1">
        <f t="shared" si="17"/>
        <v>1.29975020815987</v>
      </c>
      <c r="T90" s="1">
        <f t="shared" si="14"/>
        <v>1.50675675675676</v>
      </c>
      <c r="U90" s="1">
        <f t="shared" si="19"/>
        <v>1.02832674571805</v>
      </c>
      <c r="V90" s="1">
        <f t="shared" si="15"/>
        <v>1.85391923990499</v>
      </c>
      <c r="W90" s="1">
        <f t="shared" si="16"/>
        <v>1.11340941512126</v>
      </c>
    </row>
    <row r="91" spans="1:23">
      <c r="A91" s="1" t="s">
        <v>108</v>
      </c>
      <c r="B91" s="1">
        <v>8204</v>
      </c>
      <c r="C91" s="1">
        <v>8204</v>
      </c>
      <c r="D91" s="1">
        <v>74676</v>
      </c>
      <c r="E91" s="1">
        <v>1.77</v>
      </c>
      <c r="F91" s="1">
        <v>1.459</v>
      </c>
      <c r="G91" s="1">
        <v>1.18</v>
      </c>
      <c r="H91" s="1">
        <v>1.697</v>
      </c>
      <c r="I91" s="1">
        <v>0.929</v>
      </c>
      <c r="J91" s="1">
        <v>1.636</v>
      </c>
      <c r="K91" s="1">
        <v>74676</v>
      </c>
      <c r="L91" s="1">
        <v>75408</v>
      </c>
      <c r="M91" s="2">
        <f t="shared" si="12"/>
        <v>1.0098023461353</v>
      </c>
      <c r="N91" s="1">
        <v>105188</v>
      </c>
      <c r="O91" s="2">
        <f t="shared" si="13"/>
        <v>1.40859178316996</v>
      </c>
      <c r="P91" s="1">
        <v>44126</v>
      </c>
      <c r="Q91" s="2">
        <f t="shared" si="18"/>
        <v>0.590899351866731</v>
      </c>
      <c r="S91" s="1">
        <f t="shared" si="17"/>
        <v>1.21315969842358</v>
      </c>
      <c r="T91" s="1">
        <f t="shared" si="14"/>
        <v>1.5</v>
      </c>
      <c r="U91" s="1">
        <f t="shared" si="19"/>
        <v>1.04301708898055</v>
      </c>
      <c r="V91" s="1">
        <f t="shared" si="15"/>
        <v>1.90527448869752</v>
      </c>
      <c r="W91" s="1">
        <f t="shared" si="16"/>
        <v>1.08190709046455</v>
      </c>
    </row>
    <row r="92" spans="1:23">
      <c r="A92" s="1" t="s">
        <v>109</v>
      </c>
      <c r="B92" s="1">
        <v>8127</v>
      </c>
      <c r="C92" s="1">
        <v>8127</v>
      </c>
      <c r="D92" s="1">
        <v>77689</v>
      </c>
      <c r="E92" s="1">
        <v>1.768</v>
      </c>
      <c r="F92" s="1">
        <v>1.352</v>
      </c>
      <c r="G92" s="1">
        <v>1.255</v>
      </c>
      <c r="H92" s="1">
        <v>1.708</v>
      </c>
      <c r="I92" s="1">
        <v>0.935</v>
      </c>
      <c r="J92" s="1">
        <v>1.633</v>
      </c>
      <c r="K92" s="1">
        <v>77689</v>
      </c>
      <c r="L92" s="1">
        <v>79386</v>
      </c>
      <c r="M92" s="2">
        <f t="shared" si="12"/>
        <v>1.0218435042284</v>
      </c>
      <c r="N92" s="1">
        <v>111216</v>
      </c>
      <c r="O92" s="2">
        <f t="shared" si="13"/>
        <v>1.43155401665615</v>
      </c>
      <c r="P92" s="1">
        <v>46952</v>
      </c>
      <c r="Q92" s="2">
        <f t="shared" si="18"/>
        <v>0.60435840337757</v>
      </c>
      <c r="S92" s="1">
        <f t="shared" si="17"/>
        <v>1.30769230769231</v>
      </c>
      <c r="T92" s="1">
        <f t="shared" si="14"/>
        <v>1.40876494023904</v>
      </c>
      <c r="U92" s="1">
        <f t="shared" si="19"/>
        <v>1.03512880562061</v>
      </c>
      <c r="V92" s="1">
        <f t="shared" si="15"/>
        <v>1.89090909090909</v>
      </c>
      <c r="W92" s="1">
        <f t="shared" si="16"/>
        <v>1.08266993263931</v>
      </c>
    </row>
    <row r="93" spans="1:23">
      <c r="A93" s="1" t="s">
        <v>110</v>
      </c>
      <c r="B93" s="1">
        <v>9271</v>
      </c>
      <c r="C93" s="1">
        <v>9271</v>
      </c>
      <c r="D93" s="1">
        <v>136811</v>
      </c>
      <c r="E93" s="1">
        <v>3.052</v>
      </c>
      <c r="F93" s="1">
        <v>2.375</v>
      </c>
      <c r="G93" s="1">
        <v>2.083</v>
      </c>
      <c r="H93" s="1">
        <v>2.568</v>
      </c>
      <c r="I93" s="1">
        <v>1.548</v>
      </c>
      <c r="J93" s="1">
        <v>2.201</v>
      </c>
      <c r="K93" s="1">
        <v>136811</v>
      </c>
      <c r="L93" s="1">
        <v>138196</v>
      </c>
      <c r="M93" s="2">
        <f t="shared" si="12"/>
        <v>1.01012345498534</v>
      </c>
      <c r="N93" s="1">
        <v>176904</v>
      </c>
      <c r="O93" s="2">
        <f t="shared" si="13"/>
        <v>1.29305392110284</v>
      </c>
      <c r="P93" s="1">
        <v>75798</v>
      </c>
      <c r="Q93" s="2">
        <f t="shared" si="18"/>
        <v>0.554034397818889</v>
      </c>
      <c r="S93" s="1">
        <f t="shared" si="17"/>
        <v>1.28505263157895</v>
      </c>
      <c r="T93" s="1">
        <f t="shared" si="14"/>
        <v>1.46519443110898</v>
      </c>
      <c r="U93" s="1">
        <f t="shared" si="19"/>
        <v>1.18847352024922</v>
      </c>
      <c r="V93" s="1">
        <f t="shared" si="15"/>
        <v>1.97157622739018</v>
      </c>
      <c r="W93" s="1">
        <f t="shared" si="16"/>
        <v>1.3866424352567</v>
      </c>
    </row>
    <row r="94" spans="1:23">
      <c r="A94" s="1" t="s">
        <v>111</v>
      </c>
      <c r="B94" s="1">
        <v>9941</v>
      </c>
      <c r="C94" s="1">
        <v>9941</v>
      </c>
      <c r="D94" s="1">
        <v>81501</v>
      </c>
      <c r="E94" s="1">
        <v>2.028</v>
      </c>
      <c r="F94" s="1">
        <v>1.564</v>
      </c>
      <c r="G94" s="1">
        <v>1.315</v>
      </c>
      <c r="H94" s="1">
        <v>1.908</v>
      </c>
      <c r="I94" s="1">
        <v>1.039</v>
      </c>
      <c r="J94" s="1">
        <v>1.733</v>
      </c>
      <c r="K94" s="1">
        <v>81501</v>
      </c>
      <c r="L94" s="1">
        <v>82874</v>
      </c>
      <c r="M94" s="2">
        <f t="shared" si="12"/>
        <v>1.01684641906234</v>
      </c>
      <c r="N94" s="1">
        <v>113486</v>
      </c>
      <c r="O94" s="2">
        <f t="shared" si="13"/>
        <v>1.39244917240279</v>
      </c>
      <c r="P94" s="1">
        <v>48022</v>
      </c>
      <c r="Q94" s="2">
        <f t="shared" si="18"/>
        <v>0.589219764174673</v>
      </c>
      <c r="S94" s="1">
        <f t="shared" si="17"/>
        <v>1.29667519181586</v>
      </c>
      <c r="T94" s="1">
        <f t="shared" si="14"/>
        <v>1.54220532319392</v>
      </c>
      <c r="U94" s="1">
        <f t="shared" si="19"/>
        <v>1.06289308176101</v>
      </c>
      <c r="V94" s="1">
        <f t="shared" si="15"/>
        <v>1.95187680461983</v>
      </c>
      <c r="W94" s="1">
        <f t="shared" si="16"/>
        <v>1.17022504327755</v>
      </c>
    </row>
    <row r="95" spans="1:23">
      <c r="A95" s="1" t="s">
        <v>112</v>
      </c>
      <c r="B95" s="1">
        <v>9769</v>
      </c>
      <c r="C95" s="1">
        <v>9769</v>
      </c>
      <c r="D95" s="1">
        <v>101745</v>
      </c>
      <c r="E95" s="1">
        <v>2.304</v>
      </c>
      <c r="F95" s="1">
        <v>1.843</v>
      </c>
      <c r="G95" s="1">
        <v>1.647</v>
      </c>
      <c r="H95" s="1">
        <v>2.161</v>
      </c>
      <c r="I95" s="1">
        <v>1.229</v>
      </c>
      <c r="J95" s="1">
        <v>1.818</v>
      </c>
      <c r="K95" s="1">
        <v>101745</v>
      </c>
      <c r="L95" s="1">
        <v>103648</v>
      </c>
      <c r="M95" s="2">
        <f t="shared" si="12"/>
        <v>1.0187036217996</v>
      </c>
      <c r="N95" s="1">
        <v>137534</v>
      </c>
      <c r="O95" s="2">
        <f t="shared" si="13"/>
        <v>1.35175192884171</v>
      </c>
      <c r="P95" s="1">
        <v>59524</v>
      </c>
      <c r="Q95" s="2">
        <f t="shared" si="18"/>
        <v>0.585031205464642</v>
      </c>
      <c r="S95" s="1">
        <f t="shared" si="17"/>
        <v>1.25013564839935</v>
      </c>
      <c r="T95" s="1">
        <f t="shared" si="14"/>
        <v>1.39890710382514</v>
      </c>
      <c r="U95" s="1">
        <f t="shared" si="19"/>
        <v>1.06617306802406</v>
      </c>
      <c r="V95" s="1">
        <f t="shared" si="15"/>
        <v>1.8746948738812</v>
      </c>
      <c r="W95" s="1">
        <f t="shared" si="16"/>
        <v>1.26732673267327</v>
      </c>
    </row>
    <row r="96" spans="1:23">
      <c r="A96" s="1" t="s">
        <v>113</v>
      </c>
      <c r="B96" s="1">
        <v>10471</v>
      </c>
      <c r="C96" s="1">
        <v>10471</v>
      </c>
      <c r="D96" s="1">
        <v>110285</v>
      </c>
      <c r="E96" s="1">
        <v>2.485</v>
      </c>
      <c r="F96" s="1">
        <v>1.965</v>
      </c>
      <c r="G96" s="1">
        <v>1.76</v>
      </c>
      <c r="H96" s="1">
        <v>2.245</v>
      </c>
      <c r="I96" s="1">
        <v>1.216</v>
      </c>
      <c r="J96" s="1">
        <v>1.834</v>
      </c>
      <c r="K96" s="1">
        <v>110285</v>
      </c>
      <c r="L96" s="1">
        <v>111080</v>
      </c>
      <c r="M96" s="2">
        <f t="shared" si="12"/>
        <v>1.0072085959106</v>
      </c>
      <c r="N96" s="1">
        <v>144340</v>
      </c>
      <c r="O96" s="2">
        <f t="shared" si="13"/>
        <v>1.30879086004443</v>
      </c>
      <c r="P96" s="1">
        <v>63002</v>
      </c>
      <c r="Q96" s="2">
        <f t="shared" si="18"/>
        <v>0.571265357936256</v>
      </c>
      <c r="S96" s="1">
        <f t="shared" si="17"/>
        <v>1.264631043257</v>
      </c>
      <c r="T96" s="1">
        <f t="shared" si="14"/>
        <v>1.41193181818182</v>
      </c>
      <c r="U96" s="1">
        <f t="shared" si="19"/>
        <v>1.10690423162584</v>
      </c>
      <c r="V96" s="1">
        <f t="shared" si="15"/>
        <v>2.04358552631579</v>
      </c>
      <c r="W96" s="1">
        <f t="shared" si="16"/>
        <v>1.35496183206107</v>
      </c>
    </row>
    <row r="97" spans="1:23">
      <c r="A97" s="1" t="s">
        <v>114</v>
      </c>
      <c r="B97" s="1">
        <v>11125</v>
      </c>
      <c r="C97" s="1">
        <v>11125</v>
      </c>
      <c r="D97" s="1">
        <v>123675</v>
      </c>
      <c r="E97" s="1">
        <v>2.908</v>
      </c>
      <c r="F97" s="1">
        <v>2.148</v>
      </c>
      <c r="G97" s="1">
        <v>1.995</v>
      </c>
      <c r="H97" s="1">
        <v>2.629</v>
      </c>
      <c r="I97" s="1">
        <v>1.497</v>
      </c>
      <c r="J97" s="1">
        <v>2.055</v>
      </c>
      <c r="K97" s="1">
        <v>123675</v>
      </c>
      <c r="L97" s="1">
        <v>125384</v>
      </c>
      <c r="M97" s="2">
        <f t="shared" si="12"/>
        <v>1.01381847584395</v>
      </c>
      <c r="N97" s="1">
        <v>162708</v>
      </c>
      <c r="O97" s="2">
        <f t="shared" si="13"/>
        <v>1.31560946027896</v>
      </c>
      <c r="P97" s="1">
        <v>69986</v>
      </c>
      <c r="Q97" s="2">
        <f t="shared" si="18"/>
        <v>0.565886395795432</v>
      </c>
      <c r="S97" s="1">
        <f t="shared" si="17"/>
        <v>1.35381750465549</v>
      </c>
      <c r="T97" s="1">
        <f t="shared" si="14"/>
        <v>1.45764411027569</v>
      </c>
      <c r="U97" s="1">
        <f t="shared" si="19"/>
        <v>1.10612400152149</v>
      </c>
      <c r="V97" s="1">
        <f t="shared" si="15"/>
        <v>1.94255177020708</v>
      </c>
      <c r="W97" s="1">
        <f t="shared" si="16"/>
        <v>1.41508515815085</v>
      </c>
    </row>
    <row r="98" spans="1:23">
      <c r="A98" s="1" t="s">
        <v>115</v>
      </c>
      <c r="B98" s="1">
        <v>10728</v>
      </c>
      <c r="C98" s="1">
        <v>10728</v>
      </c>
      <c r="D98" s="1">
        <v>85000</v>
      </c>
      <c r="E98" s="1">
        <v>2.098</v>
      </c>
      <c r="F98" s="1">
        <v>1.779</v>
      </c>
      <c r="G98" s="1">
        <v>1.392</v>
      </c>
      <c r="H98" s="1">
        <v>2.101</v>
      </c>
      <c r="I98" s="1">
        <v>1.102</v>
      </c>
      <c r="J98" s="1">
        <v>1.901</v>
      </c>
      <c r="K98" s="1">
        <v>85000</v>
      </c>
      <c r="L98" s="1">
        <v>85802</v>
      </c>
      <c r="M98" s="2">
        <f t="shared" si="12"/>
        <v>1.00943529411765</v>
      </c>
      <c r="N98" s="1">
        <v>125474</v>
      </c>
      <c r="O98" s="2">
        <f t="shared" si="13"/>
        <v>1.47616470588235</v>
      </c>
      <c r="P98" s="1">
        <v>52316</v>
      </c>
      <c r="Q98" s="2">
        <f t="shared" si="18"/>
        <v>0.615482352941176</v>
      </c>
      <c r="S98" s="1">
        <f t="shared" si="17"/>
        <v>1.17931422147274</v>
      </c>
      <c r="T98" s="1">
        <f t="shared" si="14"/>
        <v>1.50718390804598</v>
      </c>
      <c r="U98" s="1">
        <f t="shared" si="19"/>
        <v>0.998572108519752</v>
      </c>
      <c r="V98" s="1">
        <f t="shared" si="15"/>
        <v>1.9038112522686</v>
      </c>
      <c r="W98" s="1">
        <f t="shared" si="16"/>
        <v>1.10362966859548</v>
      </c>
    </row>
    <row r="99" spans="1:23">
      <c r="A99" s="1" t="s">
        <v>116</v>
      </c>
      <c r="B99" s="1">
        <v>13206</v>
      </c>
      <c r="C99" s="1">
        <v>13206</v>
      </c>
      <c r="D99" s="1">
        <v>174452</v>
      </c>
      <c r="E99" s="1">
        <v>3.913</v>
      </c>
      <c r="F99" s="1">
        <v>2.996</v>
      </c>
      <c r="G99" s="1">
        <v>2.752</v>
      </c>
      <c r="H99" s="1">
        <v>3.324</v>
      </c>
      <c r="I99" s="1">
        <v>2.035</v>
      </c>
      <c r="J99" s="1">
        <v>2.729</v>
      </c>
      <c r="K99" s="1">
        <v>174452</v>
      </c>
      <c r="L99" s="1">
        <v>178048</v>
      </c>
      <c r="M99" s="2">
        <f t="shared" si="12"/>
        <v>1.0206131199413</v>
      </c>
      <c r="N99" s="1">
        <v>218172</v>
      </c>
      <c r="O99" s="2">
        <f t="shared" si="13"/>
        <v>1.25061334923073</v>
      </c>
      <c r="P99" s="1">
        <v>96170</v>
      </c>
      <c r="Q99" s="2">
        <f t="shared" si="18"/>
        <v>0.551269117006397</v>
      </c>
      <c r="S99" s="1">
        <f t="shared" si="17"/>
        <v>1.30607476635514</v>
      </c>
      <c r="T99" s="1">
        <f t="shared" si="14"/>
        <v>1.421875</v>
      </c>
      <c r="U99" s="1">
        <f t="shared" si="19"/>
        <v>1.17719614921781</v>
      </c>
      <c r="V99" s="1">
        <f t="shared" si="15"/>
        <v>1.92285012285012</v>
      </c>
      <c r="W99" s="1">
        <f t="shared" si="16"/>
        <v>1.43385855624771</v>
      </c>
    </row>
    <row r="100" spans="1:23">
      <c r="A100" s="1" t="s">
        <v>117</v>
      </c>
      <c r="B100" s="1">
        <v>14913</v>
      </c>
      <c r="C100" s="1">
        <v>14913</v>
      </c>
      <c r="D100" s="1">
        <v>130397</v>
      </c>
      <c r="E100" s="1">
        <v>3.226</v>
      </c>
      <c r="F100" s="1">
        <v>2.468</v>
      </c>
      <c r="G100" s="1">
        <v>2.183</v>
      </c>
      <c r="H100" s="1">
        <v>3.089</v>
      </c>
      <c r="I100" s="1">
        <v>1.718</v>
      </c>
      <c r="J100" s="1">
        <v>2.91</v>
      </c>
      <c r="K100" s="1">
        <v>130397</v>
      </c>
      <c r="L100" s="1">
        <v>130614</v>
      </c>
      <c r="M100" s="2">
        <f t="shared" si="12"/>
        <v>1.00166414871508</v>
      </c>
      <c r="N100" s="1">
        <v>181244</v>
      </c>
      <c r="O100" s="2">
        <f t="shared" si="13"/>
        <v>1.38993995260627</v>
      </c>
      <c r="P100" s="1">
        <v>76298</v>
      </c>
      <c r="Q100" s="2">
        <f t="shared" si="18"/>
        <v>0.585120823331825</v>
      </c>
      <c r="S100" s="1">
        <f t="shared" si="17"/>
        <v>1.30713128038898</v>
      </c>
      <c r="T100" s="1">
        <f t="shared" si="14"/>
        <v>1.47778286761338</v>
      </c>
      <c r="U100" s="1">
        <f t="shared" si="19"/>
        <v>1.04435092262868</v>
      </c>
      <c r="V100" s="1">
        <f t="shared" si="15"/>
        <v>1.87776484284051</v>
      </c>
      <c r="W100" s="1">
        <f t="shared" si="16"/>
        <v>1.1085910652921</v>
      </c>
    </row>
    <row r="101" spans="1:23">
      <c r="A101" s="1" t="s">
        <v>118</v>
      </c>
      <c r="B101" s="1">
        <v>15343</v>
      </c>
      <c r="C101" s="1">
        <v>15343</v>
      </c>
      <c r="D101" s="1">
        <v>211401</v>
      </c>
      <c r="E101" s="1">
        <v>4.809</v>
      </c>
      <c r="F101" s="1">
        <v>3.702</v>
      </c>
      <c r="G101" s="1">
        <v>3.385</v>
      </c>
      <c r="H101" s="1">
        <v>4.361</v>
      </c>
      <c r="I101" s="1">
        <v>2.256</v>
      </c>
      <c r="J101" s="1">
        <v>3.44</v>
      </c>
      <c r="K101" s="1">
        <v>211401</v>
      </c>
      <c r="L101" s="1">
        <v>214170</v>
      </c>
      <c r="M101" s="2">
        <f t="shared" si="12"/>
        <v>1.01309832971462</v>
      </c>
      <c r="N101" s="1">
        <v>310100</v>
      </c>
      <c r="O101" s="2">
        <f t="shared" si="13"/>
        <v>1.46688047833265</v>
      </c>
      <c r="P101" s="1">
        <v>119498</v>
      </c>
      <c r="Q101" s="2">
        <f t="shared" si="18"/>
        <v>0.565266957109947</v>
      </c>
      <c r="S101" s="1">
        <f t="shared" si="17"/>
        <v>1.29902755267423</v>
      </c>
      <c r="T101" s="1">
        <f t="shared" si="14"/>
        <v>1.42067946824225</v>
      </c>
      <c r="U101" s="1">
        <f t="shared" si="19"/>
        <v>1.10272873194222</v>
      </c>
      <c r="V101" s="1">
        <f t="shared" si="15"/>
        <v>2.13164893617021</v>
      </c>
      <c r="W101" s="1">
        <f t="shared" si="16"/>
        <v>1.39796511627907</v>
      </c>
    </row>
    <row r="102" spans="1:23">
      <c r="A102" s="1" t="s">
        <v>119</v>
      </c>
      <c r="B102" s="1">
        <v>18354</v>
      </c>
      <c r="C102" s="1">
        <v>18354</v>
      </c>
      <c r="D102" s="1">
        <v>166080</v>
      </c>
      <c r="E102" s="1">
        <v>4.138</v>
      </c>
      <c r="F102" s="1">
        <v>3.41</v>
      </c>
      <c r="G102" s="1">
        <v>3.01</v>
      </c>
      <c r="H102" s="1">
        <v>4.111</v>
      </c>
      <c r="I102" s="1">
        <v>2.4</v>
      </c>
      <c r="J102" s="1">
        <v>4.006</v>
      </c>
      <c r="K102" s="1">
        <v>166080</v>
      </c>
      <c r="L102" s="1">
        <v>167102</v>
      </c>
      <c r="M102" s="2">
        <f t="shared" si="12"/>
        <v>1.00615366088632</v>
      </c>
      <c r="N102" s="1">
        <v>236122</v>
      </c>
      <c r="O102" s="2">
        <f t="shared" si="13"/>
        <v>1.42173651252408</v>
      </c>
      <c r="P102" s="1">
        <v>97734</v>
      </c>
      <c r="Q102" s="2">
        <f t="shared" si="18"/>
        <v>0.588475433526012</v>
      </c>
      <c r="S102" s="1">
        <f t="shared" si="17"/>
        <v>1.21348973607038</v>
      </c>
      <c r="T102" s="1">
        <f t="shared" si="14"/>
        <v>1.37475083056478</v>
      </c>
      <c r="U102" s="1">
        <f t="shared" si="19"/>
        <v>1.00656774507419</v>
      </c>
      <c r="V102" s="1">
        <f t="shared" si="15"/>
        <v>1.72416666666667</v>
      </c>
      <c r="W102" s="1">
        <f t="shared" si="16"/>
        <v>1.03295057413879</v>
      </c>
    </row>
    <row r="103" spans="1:23">
      <c r="A103" s="1" t="s">
        <v>120</v>
      </c>
      <c r="B103" s="1">
        <v>21132</v>
      </c>
      <c r="C103" s="1">
        <v>21132</v>
      </c>
      <c r="D103" s="1">
        <v>157042</v>
      </c>
      <c r="E103" s="1">
        <v>3.962</v>
      </c>
      <c r="F103" s="1">
        <v>3.59</v>
      </c>
      <c r="G103" s="1">
        <v>2.819</v>
      </c>
      <c r="H103" s="1">
        <v>4.136</v>
      </c>
      <c r="I103" s="1">
        <v>2.262</v>
      </c>
      <c r="J103" s="1">
        <v>3.957</v>
      </c>
      <c r="K103" s="1">
        <v>157042</v>
      </c>
      <c r="L103" s="1">
        <v>158614</v>
      </c>
      <c r="M103" s="2">
        <f t="shared" si="12"/>
        <v>1.01001006100279</v>
      </c>
      <c r="N103" s="1">
        <v>233478</v>
      </c>
      <c r="O103" s="2">
        <f t="shared" si="13"/>
        <v>1.48672329695241</v>
      </c>
      <c r="P103" s="1">
        <v>97016</v>
      </c>
      <c r="Q103" s="2">
        <f t="shared" si="18"/>
        <v>0.617771042141593</v>
      </c>
      <c r="S103" s="1">
        <f t="shared" si="17"/>
        <v>1.10362116991643</v>
      </c>
      <c r="T103" s="1">
        <f t="shared" si="14"/>
        <v>1.40546293011706</v>
      </c>
      <c r="U103" s="1">
        <f t="shared" si="19"/>
        <v>0.957930367504836</v>
      </c>
      <c r="V103" s="1">
        <f t="shared" si="15"/>
        <v>1.75154730327144</v>
      </c>
      <c r="W103" s="1">
        <f t="shared" si="16"/>
        <v>1.00126358352287</v>
      </c>
    </row>
    <row r="104" spans="1:23">
      <c r="A104" s="1" t="s">
        <v>121</v>
      </c>
      <c r="B104" s="1">
        <v>22401</v>
      </c>
      <c r="C104" s="1">
        <v>22401</v>
      </c>
      <c r="D104" s="1">
        <v>193625</v>
      </c>
      <c r="E104" s="1">
        <v>4.837</v>
      </c>
      <c r="F104" s="1">
        <v>4.155</v>
      </c>
      <c r="G104" s="1">
        <v>3.56</v>
      </c>
      <c r="H104" s="1">
        <v>4.837</v>
      </c>
      <c r="I104" s="1">
        <v>2.798</v>
      </c>
      <c r="J104" s="1">
        <v>4.874</v>
      </c>
      <c r="K104" s="1">
        <v>193625</v>
      </c>
      <c r="L104" s="1">
        <v>197122</v>
      </c>
      <c r="M104" s="2">
        <f t="shared" si="12"/>
        <v>1.01806068431246</v>
      </c>
      <c r="N104" s="1">
        <v>277410</v>
      </c>
      <c r="O104" s="2">
        <f t="shared" si="13"/>
        <v>1.43271788250484</v>
      </c>
      <c r="P104" s="1">
        <v>114404</v>
      </c>
      <c r="Q104" s="2">
        <f t="shared" si="18"/>
        <v>0.590853453841188</v>
      </c>
      <c r="S104" s="1">
        <f t="shared" si="17"/>
        <v>1.16413959085439</v>
      </c>
      <c r="T104" s="1">
        <f t="shared" si="14"/>
        <v>1.35870786516854</v>
      </c>
      <c r="U104" s="1">
        <f t="shared" si="19"/>
        <v>1</v>
      </c>
      <c r="V104" s="1">
        <f t="shared" si="15"/>
        <v>1.72873481057898</v>
      </c>
      <c r="W104" s="1">
        <f t="shared" si="16"/>
        <v>0.992408699220353</v>
      </c>
    </row>
    <row r="105" spans="1:23">
      <c r="A105" s="1" t="s">
        <v>122</v>
      </c>
      <c r="B105" s="1">
        <v>23196</v>
      </c>
      <c r="C105" s="1">
        <v>23196</v>
      </c>
      <c r="D105" s="1">
        <v>203050</v>
      </c>
      <c r="E105" s="1">
        <v>5.017</v>
      </c>
      <c r="F105" s="1">
        <v>4.231</v>
      </c>
      <c r="G105" s="1">
        <v>3.669</v>
      </c>
      <c r="H105" s="1">
        <v>5.041</v>
      </c>
      <c r="I105" s="1">
        <v>2.914</v>
      </c>
      <c r="J105" s="1">
        <v>5.112</v>
      </c>
      <c r="K105" s="1">
        <v>203050</v>
      </c>
      <c r="L105" s="1">
        <v>204690</v>
      </c>
      <c r="M105" s="2">
        <f t="shared" si="12"/>
        <v>1.0080768283674</v>
      </c>
      <c r="N105" s="1">
        <v>288608</v>
      </c>
      <c r="O105" s="2">
        <f t="shared" si="13"/>
        <v>1.42136419601083</v>
      </c>
      <c r="P105" s="1">
        <v>121908</v>
      </c>
      <c r="Q105" s="2">
        <f t="shared" si="18"/>
        <v>0.600384141836986</v>
      </c>
      <c r="S105" s="1">
        <f t="shared" si="17"/>
        <v>1.18577168518081</v>
      </c>
      <c r="T105" s="1">
        <f t="shared" si="14"/>
        <v>1.367402562006</v>
      </c>
      <c r="U105" s="1">
        <f t="shared" si="19"/>
        <v>0.995239039873041</v>
      </c>
      <c r="V105" s="1">
        <f t="shared" si="15"/>
        <v>1.72168840082361</v>
      </c>
      <c r="W105" s="1">
        <f t="shared" si="16"/>
        <v>0.98141627543036</v>
      </c>
    </row>
    <row r="106" spans="1:23">
      <c r="A106" s="1" t="s">
        <v>123</v>
      </c>
      <c r="B106" s="1">
        <v>23948</v>
      </c>
      <c r="C106" s="1">
        <v>23948</v>
      </c>
      <c r="D106" s="1">
        <v>202716</v>
      </c>
      <c r="E106" s="1">
        <v>4.986</v>
      </c>
      <c r="F106" s="1">
        <v>4.295</v>
      </c>
      <c r="G106" s="1">
        <v>3.575</v>
      </c>
      <c r="H106" s="1">
        <v>5.089</v>
      </c>
      <c r="I106" s="1">
        <v>2.88</v>
      </c>
      <c r="J106" s="1">
        <v>4.965</v>
      </c>
      <c r="K106" s="1">
        <v>202716</v>
      </c>
      <c r="L106" s="1">
        <v>204554</v>
      </c>
      <c r="M106" s="2">
        <f t="shared" si="12"/>
        <v>1.00906687187987</v>
      </c>
      <c r="N106" s="1">
        <v>288368</v>
      </c>
      <c r="O106" s="2">
        <f t="shared" si="13"/>
        <v>1.42252214921368</v>
      </c>
      <c r="P106" s="1">
        <v>121274</v>
      </c>
      <c r="Q106" s="2">
        <f t="shared" si="18"/>
        <v>0.59824582174076</v>
      </c>
      <c r="S106" s="1">
        <f t="shared" si="17"/>
        <v>1.16088474970896</v>
      </c>
      <c r="T106" s="1">
        <f t="shared" si="14"/>
        <v>1.39468531468531</v>
      </c>
      <c r="U106" s="1">
        <f t="shared" si="19"/>
        <v>0.979760267243073</v>
      </c>
      <c r="V106" s="1">
        <f t="shared" si="15"/>
        <v>1.73125</v>
      </c>
      <c r="W106" s="1">
        <f t="shared" si="16"/>
        <v>1.00422960725076</v>
      </c>
    </row>
    <row r="107" spans="1:23">
      <c r="A107" s="1" t="s">
        <v>124</v>
      </c>
      <c r="B107" s="1">
        <v>30235</v>
      </c>
      <c r="C107" s="1">
        <v>30235</v>
      </c>
      <c r="D107" s="1">
        <v>372213</v>
      </c>
      <c r="E107" s="1">
        <v>9.393</v>
      </c>
      <c r="F107" s="1">
        <v>7.817</v>
      </c>
      <c r="G107" s="1">
        <v>7.48</v>
      </c>
      <c r="H107" s="1">
        <v>8.692</v>
      </c>
      <c r="I107" s="1">
        <v>5.21</v>
      </c>
      <c r="J107" s="1">
        <v>7.247</v>
      </c>
      <c r="K107" s="1">
        <v>372213</v>
      </c>
      <c r="L107" s="1">
        <v>374544</v>
      </c>
      <c r="M107" s="2">
        <f t="shared" si="12"/>
        <v>1.00626254322122</v>
      </c>
      <c r="N107" s="1">
        <v>479482</v>
      </c>
      <c r="O107" s="2">
        <f t="shared" si="13"/>
        <v>1.28819251342645</v>
      </c>
      <c r="P107" s="1">
        <v>208218</v>
      </c>
      <c r="Q107" s="2">
        <f t="shared" si="18"/>
        <v>0.559405501688549</v>
      </c>
      <c r="S107" s="1">
        <f t="shared" si="17"/>
        <v>1.20161187156198</v>
      </c>
      <c r="T107" s="1">
        <f t="shared" si="14"/>
        <v>1.2557486631016</v>
      </c>
      <c r="U107" s="1">
        <f t="shared" si="19"/>
        <v>1.08064887252646</v>
      </c>
      <c r="V107" s="1">
        <f t="shared" si="15"/>
        <v>1.80287907869482</v>
      </c>
      <c r="W107" s="1">
        <f t="shared" si="16"/>
        <v>1.29612253346212</v>
      </c>
    </row>
    <row r="108" spans="1:23">
      <c r="A108" s="1" t="s">
        <v>125</v>
      </c>
      <c r="B108" s="1">
        <v>31793</v>
      </c>
      <c r="C108" s="1">
        <v>31793</v>
      </c>
      <c r="D108" s="1">
        <v>391693</v>
      </c>
      <c r="E108" s="1">
        <v>9.139</v>
      </c>
      <c r="F108" s="1">
        <v>7.33</v>
      </c>
      <c r="G108" s="1">
        <v>6.884</v>
      </c>
      <c r="H108" s="1">
        <v>8.427</v>
      </c>
      <c r="I108" s="1">
        <v>5.415</v>
      </c>
      <c r="J108" s="1">
        <v>7.077</v>
      </c>
      <c r="K108" s="1">
        <v>391693</v>
      </c>
      <c r="L108" s="1">
        <v>395020</v>
      </c>
      <c r="M108" s="2">
        <f t="shared" si="12"/>
        <v>1.00849389700607</v>
      </c>
      <c r="N108" s="1">
        <v>512672</v>
      </c>
      <c r="O108" s="2">
        <f t="shared" si="13"/>
        <v>1.30886178716495</v>
      </c>
      <c r="P108" s="1">
        <v>223952</v>
      </c>
      <c r="Q108" s="2">
        <f t="shared" si="18"/>
        <v>0.57175389909955</v>
      </c>
      <c r="S108" s="1">
        <f t="shared" si="17"/>
        <v>1.24679399727149</v>
      </c>
      <c r="T108" s="1">
        <f t="shared" si="14"/>
        <v>1.32757117954678</v>
      </c>
      <c r="U108" s="1">
        <f t="shared" si="19"/>
        <v>1.08449032870535</v>
      </c>
      <c r="V108" s="1">
        <f t="shared" si="15"/>
        <v>1.68771929824561</v>
      </c>
      <c r="W108" s="1">
        <f t="shared" si="16"/>
        <v>1.29136639819132</v>
      </c>
    </row>
    <row r="109" spans="1:23">
      <c r="A109" s="1" t="s">
        <v>126</v>
      </c>
      <c r="B109" s="1">
        <v>32780</v>
      </c>
      <c r="C109" s="1">
        <v>32780</v>
      </c>
      <c r="D109" s="1">
        <v>403450</v>
      </c>
      <c r="E109" s="1">
        <v>9.644</v>
      </c>
      <c r="F109" s="1">
        <v>7.931</v>
      </c>
      <c r="G109" s="1">
        <v>7.217</v>
      </c>
      <c r="H109" s="1">
        <v>9.142</v>
      </c>
      <c r="I109" s="1">
        <v>5.557</v>
      </c>
      <c r="J109" s="1">
        <v>7.685</v>
      </c>
      <c r="K109" s="1">
        <v>403450</v>
      </c>
      <c r="L109" s="1">
        <v>406708</v>
      </c>
      <c r="M109" s="2">
        <f t="shared" si="12"/>
        <v>1.00807535010534</v>
      </c>
      <c r="N109" s="1">
        <v>565142</v>
      </c>
      <c r="O109" s="2">
        <f t="shared" si="13"/>
        <v>1.4007733300285</v>
      </c>
      <c r="P109" s="1">
        <v>233464</v>
      </c>
      <c r="Q109" s="2">
        <f t="shared" si="18"/>
        <v>0.578668980047094</v>
      </c>
      <c r="S109" s="1">
        <f t="shared" si="17"/>
        <v>1.21598789559955</v>
      </c>
      <c r="T109" s="1">
        <f t="shared" si="14"/>
        <v>1.33628931689067</v>
      </c>
      <c r="U109" s="1">
        <f t="shared" si="19"/>
        <v>1.05491139794356</v>
      </c>
      <c r="V109" s="1">
        <f t="shared" si="15"/>
        <v>1.73546877811769</v>
      </c>
      <c r="W109" s="1">
        <f t="shared" si="16"/>
        <v>1.25491216655823</v>
      </c>
    </row>
    <row r="110" spans="1:23">
      <c r="A110" s="1" t="s">
        <v>127</v>
      </c>
      <c r="B110" s="1">
        <v>35910</v>
      </c>
      <c r="C110" s="1">
        <v>35910</v>
      </c>
      <c r="D110" s="1">
        <v>380900</v>
      </c>
      <c r="E110" s="1">
        <v>9.256</v>
      </c>
      <c r="F110" s="1">
        <v>7.704</v>
      </c>
      <c r="G110" s="1">
        <v>6.838</v>
      </c>
      <c r="H110" s="1">
        <v>8.767</v>
      </c>
      <c r="I110" s="1">
        <v>5.246</v>
      </c>
      <c r="J110" s="1">
        <v>7.611</v>
      </c>
      <c r="K110" s="1">
        <v>380900</v>
      </c>
      <c r="L110" s="1">
        <v>383890</v>
      </c>
      <c r="M110" s="2">
        <f t="shared" si="12"/>
        <v>1.00784982935154</v>
      </c>
      <c r="N110" s="1">
        <v>515298</v>
      </c>
      <c r="O110" s="2">
        <f t="shared" si="13"/>
        <v>1.35284326594907</v>
      </c>
      <c r="P110" s="1">
        <v>221492</v>
      </c>
      <c r="Q110" s="2">
        <f t="shared" si="18"/>
        <v>0.581496455762667</v>
      </c>
      <c r="S110" s="1">
        <f t="shared" si="17"/>
        <v>1.20145379023884</v>
      </c>
      <c r="T110" s="1">
        <f t="shared" si="14"/>
        <v>1.35361216730038</v>
      </c>
      <c r="U110" s="1">
        <f t="shared" si="19"/>
        <v>1.05577734686894</v>
      </c>
      <c r="V110" s="1">
        <f t="shared" si="15"/>
        <v>1.76439191765154</v>
      </c>
      <c r="W110" s="1">
        <f t="shared" si="16"/>
        <v>1.2161345421101</v>
      </c>
    </row>
    <row r="111" spans="1:23">
      <c r="A111" s="1" t="s">
        <v>128</v>
      </c>
      <c r="B111" s="1">
        <v>37833</v>
      </c>
      <c r="C111" s="1">
        <v>37833</v>
      </c>
      <c r="D111" s="1">
        <v>405197</v>
      </c>
      <c r="E111" s="1">
        <v>10.082</v>
      </c>
      <c r="F111" s="1">
        <v>8.001</v>
      </c>
      <c r="G111" s="1">
        <v>7.453</v>
      </c>
      <c r="H111" s="1">
        <v>9.533</v>
      </c>
      <c r="I111" s="1">
        <v>5.047</v>
      </c>
      <c r="J111" s="1">
        <v>7.909</v>
      </c>
      <c r="K111" s="1">
        <v>405197</v>
      </c>
      <c r="L111" s="1">
        <v>411248</v>
      </c>
      <c r="M111" s="2">
        <f t="shared" si="12"/>
        <v>1.01493347680264</v>
      </c>
      <c r="N111" s="1">
        <v>551008</v>
      </c>
      <c r="O111" s="2">
        <f t="shared" si="13"/>
        <v>1.35985212131383</v>
      </c>
      <c r="P111" s="1">
        <v>229600</v>
      </c>
      <c r="Q111" s="2">
        <f t="shared" si="18"/>
        <v>0.566637956352095</v>
      </c>
      <c r="S111" s="1">
        <f t="shared" si="17"/>
        <v>1.26009248843895</v>
      </c>
      <c r="T111" s="1">
        <f t="shared" si="14"/>
        <v>1.35274386153227</v>
      </c>
      <c r="U111" s="1">
        <f t="shared" si="19"/>
        <v>1.05758942620371</v>
      </c>
      <c r="V111" s="1">
        <f t="shared" si="15"/>
        <v>1.99762234991084</v>
      </c>
      <c r="W111" s="1">
        <f t="shared" si="16"/>
        <v>1.27475028448603</v>
      </c>
    </row>
    <row r="112" spans="1:23">
      <c r="A112" s="1" t="s">
        <v>129</v>
      </c>
      <c r="B112" s="1">
        <v>37595</v>
      </c>
      <c r="C112" s="1">
        <v>37595</v>
      </c>
      <c r="D112" s="1">
        <v>552557</v>
      </c>
      <c r="E112" s="1">
        <v>12.898</v>
      </c>
      <c r="F112" s="1">
        <v>10.813</v>
      </c>
      <c r="G112" s="1">
        <v>10</v>
      </c>
      <c r="H112" s="1">
        <v>12.257</v>
      </c>
      <c r="I112" s="1">
        <v>7.108</v>
      </c>
      <c r="J112" s="1">
        <v>10.112</v>
      </c>
      <c r="K112" s="1">
        <v>552557</v>
      </c>
      <c r="L112" s="1">
        <v>561648</v>
      </c>
      <c r="M112" s="2">
        <f t="shared" si="12"/>
        <v>1.0164526012701</v>
      </c>
      <c r="N112" s="1">
        <v>784134</v>
      </c>
      <c r="O112" s="2">
        <f t="shared" si="13"/>
        <v>1.41910065386919</v>
      </c>
      <c r="P112" s="1">
        <v>311500</v>
      </c>
      <c r="Q112" s="2">
        <f t="shared" si="18"/>
        <v>0.563742745092362</v>
      </c>
      <c r="S112" s="1">
        <f t="shared" si="17"/>
        <v>1.19282345325072</v>
      </c>
      <c r="T112" s="1">
        <f t="shared" si="14"/>
        <v>1.2898</v>
      </c>
      <c r="U112" s="1">
        <f t="shared" si="19"/>
        <v>1.05229664681407</v>
      </c>
      <c r="V112" s="1">
        <f t="shared" si="15"/>
        <v>1.8145751266179</v>
      </c>
      <c r="W112" s="1">
        <f t="shared" si="16"/>
        <v>1.27551424050633</v>
      </c>
    </row>
    <row r="113" spans="1:23">
      <c r="A113" s="1" t="s">
        <v>130</v>
      </c>
      <c r="B113" s="1">
        <v>41282</v>
      </c>
      <c r="C113" s="1">
        <v>41282</v>
      </c>
      <c r="D113" s="1">
        <v>480536</v>
      </c>
      <c r="E113" s="1">
        <v>11.896</v>
      </c>
      <c r="F113" s="1">
        <v>9.792</v>
      </c>
      <c r="G113" s="1">
        <v>9.21</v>
      </c>
      <c r="H113" s="1">
        <v>11.406</v>
      </c>
      <c r="I113" s="1">
        <v>6.767</v>
      </c>
      <c r="J113" s="1">
        <v>9.692</v>
      </c>
      <c r="K113" s="1">
        <v>480536</v>
      </c>
      <c r="L113" s="1">
        <v>483856</v>
      </c>
      <c r="M113" s="2">
        <f t="shared" si="12"/>
        <v>1.00690895167063</v>
      </c>
      <c r="N113" s="1">
        <v>672122</v>
      </c>
      <c r="O113" s="2">
        <f t="shared" si="13"/>
        <v>1.39869229360547</v>
      </c>
      <c r="P113" s="1">
        <v>277866</v>
      </c>
      <c r="Q113" s="2">
        <f t="shared" si="18"/>
        <v>0.578241796660396</v>
      </c>
      <c r="S113" s="1">
        <f t="shared" si="17"/>
        <v>1.21486928104575</v>
      </c>
      <c r="T113" s="1">
        <f t="shared" si="14"/>
        <v>1.29163952225841</v>
      </c>
      <c r="U113" s="1">
        <f t="shared" si="19"/>
        <v>1.04295984569525</v>
      </c>
      <c r="V113" s="1">
        <f t="shared" si="15"/>
        <v>1.75794295847495</v>
      </c>
      <c r="W113" s="1">
        <f t="shared" si="16"/>
        <v>1.22740404457284</v>
      </c>
    </row>
    <row r="114" spans="1:23">
      <c r="A114" s="1" t="s">
        <v>131</v>
      </c>
      <c r="B114" s="1">
        <v>43640</v>
      </c>
      <c r="C114" s="1">
        <v>43640</v>
      </c>
      <c r="D114" s="1">
        <v>298578</v>
      </c>
      <c r="E114" s="1">
        <v>8.33</v>
      </c>
      <c r="F114" s="1">
        <v>7.651</v>
      </c>
      <c r="G114" s="1">
        <v>6.146</v>
      </c>
      <c r="H114" s="1">
        <v>9.097</v>
      </c>
      <c r="I114" s="1">
        <v>5.024</v>
      </c>
      <c r="J114" s="1">
        <v>8.256</v>
      </c>
      <c r="K114" s="1">
        <v>298578</v>
      </c>
      <c r="L114" s="1">
        <v>300950</v>
      </c>
      <c r="M114" s="2">
        <f t="shared" si="12"/>
        <v>1.00794432275653</v>
      </c>
      <c r="N114" s="1">
        <v>456218</v>
      </c>
      <c r="O114" s="2">
        <f t="shared" si="13"/>
        <v>1.52796924086838</v>
      </c>
      <c r="P114" s="1">
        <v>185560</v>
      </c>
      <c r="Q114" s="2">
        <f t="shared" si="18"/>
        <v>0.62147914447816</v>
      </c>
      <c r="S114" s="1">
        <f t="shared" si="17"/>
        <v>1.08874656907594</v>
      </c>
      <c r="T114" s="1">
        <f t="shared" si="14"/>
        <v>1.35535307517084</v>
      </c>
      <c r="U114" s="1">
        <f t="shared" si="19"/>
        <v>0.915686490051665</v>
      </c>
      <c r="V114" s="1">
        <f t="shared" si="15"/>
        <v>1.65804140127389</v>
      </c>
      <c r="W114" s="1">
        <f t="shared" si="16"/>
        <v>1.00896317829457</v>
      </c>
    </row>
    <row r="115" spans="1:23">
      <c r="A115" s="1" t="s">
        <v>132</v>
      </c>
      <c r="B115" s="1">
        <v>43618</v>
      </c>
      <c r="C115" s="1">
        <v>43618</v>
      </c>
      <c r="D115" s="1">
        <v>310016</v>
      </c>
      <c r="E115" s="1">
        <v>8.315</v>
      </c>
      <c r="F115" s="1">
        <v>7.582</v>
      </c>
      <c r="G115" s="1">
        <v>6.292</v>
      </c>
      <c r="H115" s="1">
        <v>8.891</v>
      </c>
      <c r="I115" s="1">
        <v>5.238</v>
      </c>
      <c r="J115" s="1">
        <v>8.302</v>
      </c>
      <c r="K115" s="1">
        <v>310016</v>
      </c>
      <c r="L115" s="1">
        <v>312990</v>
      </c>
      <c r="M115" s="2">
        <f t="shared" si="12"/>
        <v>1.00959305326177</v>
      </c>
      <c r="N115" s="1">
        <v>465266</v>
      </c>
      <c r="O115" s="2">
        <f t="shared" si="13"/>
        <v>1.50078060487201</v>
      </c>
      <c r="P115" s="1">
        <v>192358</v>
      </c>
      <c r="Q115" s="2">
        <f t="shared" si="18"/>
        <v>0.620477652766309</v>
      </c>
      <c r="S115" s="1">
        <f t="shared" si="17"/>
        <v>1.09667633869691</v>
      </c>
      <c r="T115" s="1">
        <f t="shared" si="14"/>
        <v>1.32151938970121</v>
      </c>
      <c r="U115" s="1">
        <f t="shared" si="19"/>
        <v>0.935215386345743</v>
      </c>
      <c r="V115" s="1">
        <f t="shared" si="15"/>
        <v>1.58743795341733</v>
      </c>
      <c r="W115" s="1">
        <f t="shared" si="16"/>
        <v>1.00156588773789</v>
      </c>
    </row>
    <row r="116" spans="1:23">
      <c r="A116" s="1" t="s">
        <v>133</v>
      </c>
      <c r="B116" s="1">
        <v>41731</v>
      </c>
      <c r="C116" s="1">
        <v>41731</v>
      </c>
      <c r="D116" s="1">
        <v>559343</v>
      </c>
      <c r="E116" s="1">
        <v>13.235</v>
      </c>
      <c r="F116" s="1">
        <v>11.217</v>
      </c>
      <c r="G116" s="1">
        <v>10.47</v>
      </c>
      <c r="H116" s="1">
        <v>13.057</v>
      </c>
      <c r="I116" s="1">
        <v>8.339</v>
      </c>
      <c r="J116" s="1">
        <v>10.97</v>
      </c>
      <c r="K116" s="1">
        <v>559343</v>
      </c>
      <c r="L116" s="1">
        <v>567618</v>
      </c>
      <c r="M116" s="2">
        <f t="shared" si="12"/>
        <v>1.01479414241351</v>
      </c>
      <c r="N116" s="1">
        <v>795416</v>
      </c>
      <c r="O116" s="2">
        <f t="shared" si="13"/>
        <v>1.42205408845735</v>
      </c>
      <c r="P116" s="1">
        <v>326630</v>
      </c>
      <c r="Q116" s="2">
        <f t="shared" si="18"/>
        <v>0.583952959096654</v>
      </c>
      <c r="S116" s="1">
        <f t="shared" si="17"/>
        <v>1.17990550057948</v>
      </c>
      <c r="T116" s="1">
        <f t="shared" si="14"/>
        <v>1.26408787010506</v>
      </c>
      <c r="U116" s="1">
        <f t="shared" si="19"/>
        <v>1.0136325342728</v>
      </c>
      <c r="V116" s="1">
        <f t="shared" si="15"/>
        <v>1.58712075788464</v>
      </c>
      <c r="W116" s="1">
        <f t="shared" si="16"/>
        <v>1.20647219690064</v>
      </c>
    </row>
    <row r="117" spans="1:23">
      <c r="A117" s="1" t="s">
        <v>134</v>
      </c>
      <c r="B117" s="1">
        <v>41731</v>
      </c>
      <c r="C117" s="1">
        <v>41731</v>
      </c>
      <c r="D117" s="1">
        <v>559343</v>
      </c>
      <c r="E117" s="1">
        <v>13.289</v>
      </c>
      <c r="F117" s="1">
        <v>11.284</v>
      </c>
      <c r="G117" s="1">
        <v>10.49</v>
      </c>
      <c r="H117" s="1">
        <v>13.1</v>
      </c>
      <c r="I117" s="1">
        <v>8.267</v>
      </c>
      <c r="J117" s="1">
        <v>10.995</v>
      </c>
      <c r="K117" s="1">
        <v>559343</v>
      </c>
      <c r="L117" s="1">
        <v>567618</v>
      </c>
      <c r="M117" s="2">
        <f t="shared" si="12"/>
        <v>1.01479414241351</v>
      </c>
      <c r="N117" s="1">
        <v>795416</v>
      </c>
      <c r="O117" s="2">
        <f t="shared" si="13"/>
        <v>1.42205408845735</v>
      </c>
      <c r="P117" s="1">
        <v>326630</v>
      </c>
      <c r="Q117" s="2">
        <f t="shared" si="18"/>
        <v>0.583952959096654</v>
      </c>
      <c r="S117" s="1">
        <f t="shared" si="17"/>
        <v>1.1776852180078</v>
      </c>
      <c r="T117" s="1">
        <f t="shared" si="14"/>
        <v>1.26682554814109</v>
      </c>
      <c r="U117" s="1">
        <f t="shared" si="19"/>
        <v>1.01442748091603</v>
      </c>
      <c r="V117" s="1">
        <f t="shared" si="15"/>
        <v>1.60747550501996</v>
      </c>
      <c r="W117" s="1">
        <f t="shared" si="16"/>
        <v>1.20864029104138</v>
      </c>
    </row>
    <row r="118" spans="1:23">
      <c r="A118" s="1" t="s">
        <v>135</v>
      </c>
      <c r="B118" s="1">
        <v>44234</v>
      </c>
      <c r="C118" s="1">
        <v>44234</v>
      </c>
      <c r="D118" s="1">
        <v>434704</v>
      </c>
      <c r="E118" s="1">
        <v>11.229</v>
      </c>
      <c r="F118" s="1">
        <v>9.424</v>
      </c>
      <c r="G118" s="1">
        <v>8.254</v>
      </c>
      <c r="H118" s="1">
        <v>11.097</v>
      </c>
      <c r="I118" s="1">
        <v>7.052</v>
      </c>
      <c r="J118" s="1">
        <v>11.438</v>
      </c>
      <c r="K118" s="1">
        <v>434704</v>
      </c>
      <c r="L118" s="1">
        <v>438228</v>
      </c>
      <c r="M118" s="2">
        <f t="shared" si="12"/>
        <v>1.00810666568516</v>
      </c>
      <c r="N118" s="1">
        <v>612292</v>
      </c>
      <c r="O118" s="2">
        <f t="shared" si="13"/>
        <v>1.40852626154809</v>
      </c>
      <c r="P118" s="1">
        <v>256958</v>
      </c>
      <c r="Q118" s="2">
        <f t="shared" si="18"/>
        <v>0.591110272737311</v>
      </c>
      <c r="S118" s="1">
        <f t="shared" si="17"/>
        <v>1.19153225806452</v>
      </c>
      <c r="T118" s="1">
        <f t="shared" si="14"/>
        <v>1.36043130603344</v>
      </c>
      <c r="U118" s="1">
        <f t="shared" si="19"/>
        <v>1.01189510678562</v>
      </c>
      <c r="V118" s="1">
        <f t="shared" si="15"/>
        <v>1.59231423709586</v>
      </c>
      <c r="W118" s="1">
        <f t="shared" si="16"/>
        <v>0.98172757475083</v>
      </c>
    </row>
    <row r="119" spans="1:23">
      <c r="A119" s="1" t="s">
        <v>136</v>
      </c>
      <c r="B119" s="1">
        <v>51035</v>
      </c>
      <c r="C119" s="1">
        <v>51035</v>
      </c>
      <c r="D119" s="1">
        <v>717841</v>
      </c>
      <c r="E119" s="1">
        <v>17.109</v>
      </c>
      <c r="F119" s="1">
        <v>13.436</v>
      </c>
      <c r="G119" s="1">
        <v>13.244</v>
      </c>
      <c r="H119" s="1">
        <v>14.776</v>
      </c>
      <c r="I119" s="1">
        <v>9.125</v>
      </c>
      <c r="J119" s="1">
        <v>12.662</v>
      </c>
      <c r="K119" s="1">
        <v>717841</v>
      </c>
      <c r="L119" s="1">
        <v>719882</v>
      </c>
      <c r="M119" s="2">
        <f t="shared" si="12"/>
        <v>1.00284324801732</v>
      </c>
      <c r="N119" s="1">
        <v>891556</v>
      </c>
      <c r="O119" s="2">
        <f t="shared" si="13"/>
        <v>1.24199648668716</v>
      </c>
      <c r="P119" s="1">
        <v>398474</v>
      </c>
      <c r="Q119" s="2">
        <f t="shared" si="18"/>
        <v>0.55510064206419</v>
      </c>
      <c r="S119" s="1">
        <f t="shared" si="17"/>
        <v>1.2733700506103</v>
      </c>
      <c r="T119" s="1">
        <f t="shared" si="14"/>
        <v>1.2918302627605</v>
      </c>
      <c r="U119" s="1">
        <f t="shared" si="19"/>
        <v>1.15789117487818</v>
      </c>
      <c r="V119" s="1">
        <f t="shared" si="15"/>
        <v>1.87495890410959</v>
      </c>
      <c r="W119" s="1">
        <f t="shared" si="16"/>
        <v>1.35120833991471</v>
      </c>
    </row>
    <row r="120" spans="1:23">
      <c r="A120" s="1" t="s">
        <v>137</v>
      </c>
      <c r="B120" s="1">
        <v>51035</v>
      </c>
      <c r="C120" s="1">
        <v>51035</v>
      </c>
      <c r="D120" s="1">
        <v>717841</v>
      </c>
      <c r="E120" s="1">
        <v>17.171</v>
      </c>
      <c r="F120" s="1">
        <v>13.594</v>
      </c>
      <c r="G120" s="1">
        <v>13.207</v>
      </c>
      <c r="H120" s="1">
        <v>14.734</v>
      </c>
      <c r="I120" s="1">
        <v>9.15</v>
      </c>
      <c r="J120" s="1">
        <v>12.582</v>
      </c>
      <c r="K120" s="1">
        <v>717841</v>
      </c>
      <c r="L120" s="1">
        <v>719882</v>
      </c>
      <c r="M120" s="2">
        <f t="shared" si="12"/>
        <v>1.00284324801732</v>
      </c>
      <c r="N120" s="1">
        <v>891556</v>
      </c>
      <c r="O120" s="2">
        <f t="shared" si="13"/>
        <v>1.24199648668716</v>
      </c>
      <c r="P120" s="1">
        <v>398474</v>
      </c>
      <c r="Q120" s="2">
        <f t="shared" si="18"/>
        <v>0.55510064206419</v>
      </c>
      <c r="S120" s="1">
        <f t="shared" si="17"/>
        <v>1.26313079299691</v>
      </c>
      <c r="T120" s="1">
        <f t="shared" si="14"/>
        <v>1.3001438631029</v>
      </c>
      <c r="U120" s="1">
        <f t="shared" si="19"/>
        <v>1.16539975566716</v>
      </c>
      <c r="V120" s="1">
        <f t="shared" si="15"/>
        <v>1.87661202185792</v>
      </c>
      <c r="W120" s="1">
        <f t="shared" si="16"/>
        <v>1.36472738833254</v>
      </c>
    </row>
    <row r="121" spans="1:23">
      <c r="A121" s="1" t="s">
        <v>138</v>
      </c>
      <c r="B121" s="1">
        <v>48066</v>
      </c>
      <c r="C121" s="1">
        <v>48066</v>
      </c>
      <c r="D121" s="1">
        <v>360528</v>
      </c>
      <c r="E121" s="1">
        <v>10.001</v>
      </c>
      <c r="F121" s="1">
        <v>9.087</v>
      </c>
      <c r="G121" s="1">
        <v>7.279</v>
      </c>
      <c r="H121" s="1">
        <v>10.336</v>
      </c>
      <c r="I121" s="1">
        <v>5.915</v>
      </c>
      <c r="J121" s="1">
        <v>9.762</v>
      </c>
      <c r="K121" s="1">
        <v>360528</v>
      </c>
      <c r="L121" s="1">
        <v>364156</v>
      </c>
      <c r="M121" s="2">
        <f t="shared" si="12"/>
        <v>1.01006301868371</v>
      </c>
      <c r="N121" s="1">
        <v>531798</v>
      </c>
      <c r="O121" s="2">
        <f t="shared" si="13"/>
        <v>1.47505325522567</v>
      </c>
      <c r="P121" s="1">
        <v>221360</v>
      </c>
      <c r="Q121" s="2">
        <f t="shared" si="18"/>
        <v>0.613988372609062</v>
      </c>
      <c r="S121" s="1">
        <f t="shared" si="17"/>
        <v>1.10058325079784</v>
      </c>
      <c r="T121" s="1">
        <f t="shared" si="14"/>
        <v>1.37395246599808</v>
      </c>
      <c r="U121" s="1">
        <f t="shared" si="19"/>
        <v>0.967589009287926</v>
      </c>
      <c r="V121" s="1">
        <f t="shared" si="15"/>
        <v>1.69078613693998</v>
      </c>
      <c r="W121" s="1">
        <f t="shared" si="16"/>
        <v>1.02448268797378</v>
      </c>
    </row>
    <row r="122" spans="1:23">
      <c r="A122" s="1" t="s">
        <v>139</v>
      </c>
      <c r="B122" s="1">
        <v>49989</v>
      </c>
      <c r="C122" s="1">
        <v>49989</v>
      </c>
      <c r="D122" s="1">
        <v>499007</v>
      </c>
      <c r="E122" s="1">
        <v>12.969</v>
      </c>
      <c r="F122" s="1">
        <v>11.109</v>
      </c>
      <c r="G122" s="1">
        <v>9.692</v>
      </c>
      <c r="H122" s="1">
        <v>12.421</v>
      </c>
      <c r="I122" s="1">
        <v>7.67</v>
      </c>
      <c r="J122" s="1">
        <v>13.022</v>
      </c>
      <c r="K122" s="1">
        <v>499007</v>
      </c>
      <c r="L122" s="1">
        <v>507294</v>
      </c>
      <c r="M122" s="2">
        <f t="shared" si="12"/>
        <v>1.01660698146519</v>
      </c>
      <c r="N122" s="1">
        <v>691062</v>
      </c>
      <c r="O122" s="2">
        <f t="shared" si="13"/>
        <v>1.38487436047991</v>
      </c>
      <c r="P122" s="1">
        <v>288040</v>
      </c>
      <c r="Q122" s="2">
        <f t="shared" si="18"/>
        <v>0.577226371573946</v>
      </c>
      <c r="S122" s="1">
        <f t="shared" si="17"/>
        <v>1.16743181204429</v>
      </c>
      <c r="T122" s="1">
        <f t="shared" si="14"/>
        <v>1.33811390837804</v>
      </c>
      <c r="U122" s="1">
        <f t="shared" si="19"/>
        <v>1.044118831012</v>
      </c>
      <c r="V122" s="1">
        <f t="shared" si="15"/>
        <v>1.69087353324641</v>
      </c>
      <c r="W122" s="1">
        <f t="shared" si="16"/>
        <v>0.995929964675165</v>
      </c>
    </row>
    <row r="123" spans="1:23">
      <c r="A123" s="1" t="s">
        <v>140</v>
      </c>
      <c r="B123" s="1">
        <v>49989</v>
      </c>
      <c r="C123" s="1">
        <v>49989</v>
      </c>
      <c r="D123" s="1">
        <v>499007</v>
      </c>
      <c r="E123" s="1">
        <v>13.048</v>
      </c>
      <c r="F123" s="1">
        <v>11.087</v>
      </c>
      <c r="G123" s="1">
        <v>9.649</v>
      </c>
      <c r="H123" s="1">
        <v>12.526</v>
      </c>
      <c r="I123" s="1">
        <v>7.36</v>
      </c>
      <c r="J123" s="1">
        <v>13.231</v>
      </c>
      <c r="K123" s="1">
        <v>499007</v>
      </c>
      <c r="L123" s="1">
        <v>507294</v>
      </c>
      <c r="M123" s="2">
        <f t="shared" si="12"/>
        <v>1.01660698146519</v>
      </c>
      <c r="N123" s="1">
        <v>691062</v>
      </c>
      <c r="O123" s="2">
        <f t="shared" si="13"/>
        <v>1.38487436047991</v>
      </c>
      <c r="P123" s="1">
        <v>288040</v>
      </c>
      <c r="Q123" s="2">
        <f t="shared" si="18"/>
        <v>0.577226371573946</v>
      </c>
      <c r="S123" s="1">
        <f t="shared" si="17"/>
        <v>1.17687381618111</v>
      </c>
      <c r="T123" s="1">
        <f t="shared" si="14"/>
        <v>1.35226448336615</v>
      </c>
      <c r="U123" s="1">
        <f t="shared" si="19"/>
        <v>1.04167331949545</v>
      </c>
      <c r="V123" s="1">
        <f t="shared" si="15"/>
        <v>1.77282608695652</v>
      </c>
      <c r="W123" s="1">
        <f t="shared" si="16"/>
        <v>0.986168845892223</v>
      </c>
    </row>
    <row r="124" spans="1:23">
      <c r="A124" s="1" t="s">
        <v>141</v>
      </c>
      <c r="B124" s="1">
        <v>57975</v>
      </c>
      <c r="C124" s="1">
        <v>57975</v>
      </c>
      <c r="D124" s="1">
        <v>531935</v>
      </c>
      <c r="E124" s="1">
        <v>14.11</v>
      </c>
      <c r="F124" s="1">
        <v>11.831</v>
      </c>
      <c r="G124" s="1">
        <v>10.534</v>
      </c>
      <c r="H124" s="1">
        <v>14.18</v>
      </c>
      <c r="I124" s="1">
        <v>8.047</v>
      </c>
      <c r="J124" s="1">
        <v>13.535</v>
      </c>
      <c r="K124" s="1">
        <v>531935</v>
      </c>
      <c r="L124" s="1">
        <v>535398</v>
      </c>
      <c r="M124" s="2">
        <f t="shared" si="12"/>
        <v>1.00651019391467</v>
      </c>
      <c r="N124" s="1">
        <v>744002</v>
      </c>
      <c r="O124" s="2">
        <f t="shared" si="13"/>
        <v>1.39867089024035</v>
      </c>
      <c r="P124" s="1">
        <v>311968</v>
      </c>
      <c r="Q124" s="2">
        <f t="shared" si="18"/>
        <v>0.586477671144031</v>
      </c>
      <c r="S124" s="1">
        <f t="shared" si="17"/>
        <v>1.19262953258389</v>
      </c>
      <c r="T124" s="1">
        <f t="shared" si="14"/>
        <v>1.33947218530473</v>
      </c>
      <c r="U124" s="1">
        <f t="shared" si="19"/>
        <v>0.995063469675599</v>
      </c>
      <c r="V124" s="1">
        <f t="shared" si="15"/>
        <v>1.75344849012054</v>
      </c>
      <c r="W124" s="1">
        <f t="shared" si="16"/>
        <v>1.04248245289989</v>
      </c>
    </row>
    <row r="125" spans="1:23">
      <c r="A125" s="1" t="s">
        <v>142</v>
      </c>
      <c r="B125" s="1">
        <v>57975</v>
      </c>
      <c r="C125" s="1">
        <v>57975</v>
      </c>
      <c r="D125" s="1">
        <v>531935</v>
      </c>
      <c r="E125" s="1">
        <v>13.987</v>
      </c>
      <c r="F125" s="1">
        <v>11.767</v>
      </c>
      <c r="G125" s="1">
        <v>10.635</v>
      </c>
      <c r="H125" s="1">
        <v>14.185</v>
      </c>
      <c r="I125" s="1">
        <v>8.019</v>
      </c>
      <c r="J125" s="1">
        <v>13.656</v>
      </c>
      <c r="K125" s="1">
        <v>531935</v>
      </c>
      <c r="L125" s="1">
        <v>535398</v>
      </c>
      <c r="M125" s="2">
        <f t="shared" si="12"/>
        <v>1.00651019391467</v>
      </c>
      <c r="N125" s="1">
        <v>744002</v>
      </c>
      <c r="O125" s="2">
        <f t="shared" si="13"/>
        <v>1.39867089024035</v>
      </c>
      <c r="P125" s="1">
        <v>311968</v>
      </c>
      <c r="Q125" s="2">
        <f t="shared" si="18"/>
        <v>0.586477671144031</v>
      </c>
      <c r="S125" s="1">
        <f t="shared" si="17"/>
        <v>1.18866321067392</v>
      </c>
      <c r="T125" s="1">
        <f t="shared" si="14"/>
        <v>1.31518570756935</v>
      </c>
      <c r="U125" s="1">
        <f t="shared" si="19"/>
        <v>0.986041593232288</v>
      </c>
      <c r="V125" s="1">
        <f t="shared" si="15"/>
        <v>1.74423244793615</v>
      </c>
      <c r="W125" s="1">
        <f t="shared" si="16"/>
        <v>1.02423842999414</v>
      </c>
    </row>
    <row r="126" spans="1:23">
      <c r="A126" s="1" t="s">
        <v>143</v>
      </c>
      <c r="B126" s="1">
        <v>64810</v>
      </c>
      <c r="C126" s="1">
        <v>64810</v>
      </c>
      <c r="D126" s="1">
        <v>566006</v>
      </c>
      <c r="E126" s="1">
        <v>15.427</v>
      </c>
      <c r="F126" s="1">
        <v>13.367</v>
      </c>
      <c r="G126" s="1">
        <v>11.601</v>
      </c>
      <c r="H126" s="1">
        <v>16.501</v>
      </c>
      <c r="I126" s="1">
        <v>9.97</v>
      </c>
      <c r="J126" s="1">
        <v>15.576</v>
      </c>
      <c r="K126" s="1">
        <v>566006</v>
      </c>
      <c r="L126" s="1">
        <v>569316</v>
      </c>
      <c r="M126" s="2">
        <f t="shared" si="12"/>
        <v>1.00584799454423</v>
      </c>
      <c r="N126" s="1">
        <v>851822</v>
      </c>
      <c r="O126" s="2">
        <f t="shared" si="13"/>
        <v>1.50496991197973</v>
      </c>
      <c r="P126" s="1">
        <v>345038</v>
      </c>
      <c r="Q126" s="2">
        <f t="shared" si="18"/>
        <v>0.609601311646873</v>
      </c>
      <c r="S126" s="1">
        <f t="shared" si="17"/>
        <v>1.15411087005312</v>
      </c>
      <c r="T126" s="1">
        <f t="shared" si="14"/>
        <v>1.32979915524524</v>
      </c>
      <c r="U126" s="1">
        <f t="shared" si="19"/>
        <v>0.934913035573602</v>
      </c>
      <c r="V126" s="1">
        <f t="shared" si="15"/>
        <v>1.54734202607823</v>
      </c>
      <c r="W126" s="1">
        <f t="shared" si="16"/>
        <v>0.990434001027221</v>
      </c>
    </row>
    <row r="127" spans="1:23">
      <c r="A127" s="1" t="s">
        <v>144</v>
      </c>
      <c r="B127" s="1">
        <v>67458</v>
      </c>
      <c r="C127" s="1">
        <v>67458</v>
      </c>
      <c r="D127" s="1">
        <v>623970</v>
      </c>
      <c r="E127" s="1">
        <v>16.506</v>
      </c>
      <c r="F127" s="1">
        <v>14.01</v>
      </c>
      <c r="G127" s="1">
        <v>12.794</v>
      </c>
      <c r="H127" s="1">
        <v>16.87</v>
      </c>
      <c r="I127" s="1">
        <v>10.61</v>
      </c>
      <c r="J127" s="1">
        <v>16.684</v>
      </c>
      <c r="K127" s="1">
        <v>623970</v>
      </c>
      <c r="L127" s="1">
        <v>628680</v>
      </c>
      <c r="M127" s="2">
        <f t="shared" si="12"/>
        <v>1.00754843982884</v>
      </c>
      <c r="N127" s="1">
        <v>892064</v>
      </c>
      <c r="O127" s="2">
        <f t="shared" si="13"/>
        <v>1.42965847717038</v>
      </c>
      <c r="P127" s="1">
        <v>368880</v>
      </c>
      <c r="Q127" s="2">
        <f t="shared" si="18"/>
        <v>0.591182268378287</v>
      </c>
      <c r="S127" s="1">
        <f t="shared" si="17"/>
        <v>1.17815845824411</v>
      </c>
      <c r="T127" s="1">
        <f t="shared" si="14"/>
        <v>1.29013600125059</v>
      </c>
      <c r="U127" s="1">
        <f t="shared" si="19"/>
        <v>0.978423236514523</v>
      </c>
      <c r="V127" s="1">
        <f t="shared" si="15"/>
        <v>1.55570216776626</v>
      </c>
      <c r="W127" s="1">
        <f t="shared" si="16"/>
        <v>0.989331095660513</v>
      </c>
    </row>
    <row r="128" spans="1:23">
      <c r="A128" s="1" t="s">
        <v>145</v>
      </c>
      <c r="B128" s="1">
        <v>68924</v>
      </c>
      <c r="C128" s="1">
        <v>68924</v>
      </c>
      <c r="D128" s="1">
        <v>658986</v>
      </c>
      <c r="E128" s="1">
        <v>17.288</v>
      </c>
      <c r="F128" s="1">
        <v>14.859</v>
      </c>
      <c r="G128" s="1">
        <v>13.468</v>
      </c>
      <c r="H128" s="1">
        <v>17.473</v>
      </c>
      <c r="I128" s="1">
        <v>10.98</v>
      </c>
      <c r="J128" s="1">
        <v>17.223</v>
      </c>
      <c r="K128" s="1">
        <v>658986</v>
      </c>
      <c r="L128" s="1">
        <v>663718</v>
      </c>
      <c r="M128" s="2">
        <f t="shared" si="12"/>
        <v>1.00718072918089</v>
      </c>
      <c r="N128" s="1">
        <v>939794</v>
      </c>
      <c r="O128" s="2">
        <f t="shared" si="13"/>
        <v>1.42612134400427</v>
      </c>
      <c r="P128" s="1">
        <v>389764</v>
      </c>
      <c r="Q128" s="2">
        <f t="shared" si="18"/>
        <v>0.591460213115301</v>
      </c>
      <c r="S128" s="1">
        <f t="shared" si="17"/>
        <v>1.16346995087153</v>
      </c>
      <c r="T128" s="1">
        <f t="shared" si="14"/>
        <v>1.28363528363528</v>
      </c>
      <c r="U128" s="1">
        <f t="shared" si="19"/>
        <v>0.98941223602129</v>
      </c>
      <c r="V128" s="1">
        <f t="shared" si="15"/>
        <v>1.57449908925319</v>
      </c>
      <c r="W128" s="1">
        <f t="shared" si="16"/>
        <v>1.00377402310863</v>
      </c>
    </row>
    <row r="129" spans="1:23">
      <c r="A129" s="1" t="s">
        <v>146</v>
      </c>
      <c r="B129" s="1">
        <v>76638</v>
      </c>
      <c r="C129" s="1">
        <v>76638</v>
      </c>
      <c r="D129" s="1">
        <v>859554</v>
      </c>
      <c r="E129" s="1">
        <v>22.023</v>
      </c>
      <c r="F129" s="1">
        <v>19.174</v>
      </c>
      <c r="G129" s="1">
        <v>18.029</v>
      </c>
      <c r="H129" s="1">
        <v>22.371</v>
      </c>
      <c r="I129" s="1">
        <v>15.167</v>
      </c>
      <c r="J129" s="1">
        <v>18.324</v>
      </c>
      <c r="K129" s="1">
        <v>859554</v>
      </c>
      <c r="L129" s="1">
        <v>867244</v>
      </c>
      <c r="M129" s="2">
        <f t="shared" si="12"/>
        <v>1.00894650016171</v>
      </c>
      <c r="N129" s="1">
        <v>1219888</v>
      </c>
      <c r="O129" s="2">
        <f t="shared" si="13"/>
        <v>1.41921042773345</v>
      </c>
      <c r="P129" s="1">
        <v>504756</v>
      </c>
      <c r="Q129" s="2">
        <f t="shared" si="18"/>
        <v>0.587230121667749</v>
      </c>
      <c r="S129" s="1">
        <f t="shared" si="17"/>
        <v>1.14858662772504</v>
      </c>
      <c r="T129" s="1">
        <f t="shared" si="14"/>
        <v>1.22153197626047</v>
      </c>
      <c r="U129" s="1">
        <f t="shared" si="19"/>
        <v>0.984444146439587</v>
      </c>
      <c r="V129" s="1">
        <f t="shared" si="15"/>
        <v>1.4520340212303</v>
      </c>
      <c r="W129" s="1">
        <f t="shared" si="16"/>
        <v>1.20186640471513</v>
      </c>
    </row>
    <row r="130" spans="1:23">
      <c r="A130" s="1" t="s">
        <v>147</v>
      </c>
      <c r="B130" s="1">
        <v>84064</v>
      </c>
      <c r="C130" s="1">
        <v>84064</v>
      </c>
      <c r="D130" s="1">
        <v>707558</v>
      </c>
      <c r="E130" s="1">
        <v>19.398</v>
      </c>
      <c r="F130" s="1">
        <v>17.106</v>
      </c>
      <c r="G130" s="1">
        <v>15.016</v>
      </c>
      <c r="H130" s="1">
        <v>20.148</v>
      </c>
      <c r="I130" s="1">
        <v>12.343</v>
      </c>
      <c r="J130" s="1">
        <v>18.929</v>
      </c>
      <c r="K130" s="1">
        <v>707558</v>
      </c>
      <c r="L130" s="1">
        <v>713018</v>
      </c>
      <c r="M130" s="2">
        <f t="shared" si="12"/>
        <v>1.00771668188332</v>
      </c>
      <c r="N130" s="1">
        <v>1026812</v>
      </c>
      <c r="O130" s="2">
        <f t="shared" si="13"/>
        <v>1.45120541354914</v>
      </c>
      <c r="P130" s="1">
        <v>425510</v>
      </c>
      <c r="Q130" s="2">
        <f t="shared" si="18"/>
        <v>0.601378261570076</v>
      </c>
      <c r="S130" s="1">
        <f t="shared" si="17"/>
        <v>1.13398807435987</v>
      </c>
      <c r="T130" s="1">
        <f t="shared" si="14"/>
        <v>1.2918220564731</v>
      </c>
      <c r="U130" s="1">
        <f t="shared" si="19"/>
        <v>0.962775461584276</v>
      </c>
      <c r="V130" s="1">
        <f t="shared" si="15"/>
        <v>1.57157903265009</v>
      </c>
      <c r="W130" s="1">
        <f t="shared" si="16"/>
        <v>1.02477679750647</v>
      </c>
    </row>
    <row r="131" spans="1:23">
      <c r="A131" s="1" t="s">
        <v>148</v>
      </c>
      <c r="B131" s="1">
        <v>169422</v>
      </c>
      <c r="C131" s="1">
        <v>169422</v>
      </c>
      <c r="D131" s="1">
        <v>1279274</v>
      </c>
      <c r="E131" s="1">
        <v>42.289</v>
      </c>
      <c r="F131" s="1">
        <v>35.055</v>
      </c>
      <c r="G131" s="1">
        <v>33.361</v>
      </c>
      <c r="H131" s="1">
        <v>44.896</v>
      </c>
      <c r="I131" s="1">
        <v>35.281</v>
      </c>
      <c r="J131" s="1">
        <v>39.086</v>
      </c>
      <c r="K131" s="1">
        <v>1279274</v>
      </c>
      <c r="L131" s="1">
        <v>1320652</v>
      </c>
      <c r="M131" s="2">
        <f t="shared" ref="M131:M194" si="20">L131/K131</f>
        <v>1.03234490812758</v>
      </c>
      <c r="N131" s="1">
        <v>2086396</v>
      </c>
      <c r="O131" s="2">
        <f t="shared" ref="O131:O194" si="21">N131/K131</f>
        <v>1.63092191352283</v>
      </c>
      <c r="P131" s="1">
        <v>864400</v>
      </c>
      <c r="Q131" s="2">
        <f t="shared" si="18"/>
        <v>0.675695746181037</v>
      </c>
      <c r="S131" s="1">
        <f t="shared" si="17"/>
        <v>1.20636143203537</v>
      </c>
      <c r="T131" s="1">
        <f t="shared" ref="T131:T194" si="22">E131/G131</f>
        <v>1.26761787716196</v>
      </c>
      <c r="U131" s="1">
        <f t="shared" si="19"/>
        <v>0.941932466143977</v>
      </c>
      <c r="V131" s="1">
        <f t="shared" ref="V131:V194" si="23">E131/I131</f>
        <v>1.19863382557184</v>
      </c>
      <c r="W131" s="1">
        <f t="shared" ref="W131:W194" si="24">E131/J131</f>
        <v>1.08194750038377</v>
      </c>
    </row>
    <row r="132" spans="1:23">
      <c r="A132" s="1" t="s">
        <v>149</v>
      </c>
      <c r="B132" s="1">
        <v>169422</v>
      </c>
      <c r="C132" s="1">
        <v>169422</v>
      </c>
      <c r="D132" s="1">
        <v>1279274</v>
      </c>
      <c r="E132" s="1">
        <v>39.382</v>
      </c>
      <c r="F132" s="1">
        <v>34.176</v>
      </c>
      <c r="G132" s="1">
        <v>33.42</v>
      </c>
      <c r="H132" s="1">
        <v>44.378</v>
      </c>
      <c r="I132" s="1">
        <v>36.673</v>
      </c>
      <c r="J132" s="1">
        <v>39.057</v>
      </c>
      <c r="K132" s="1">
        <v>1279274</v>
      </c>
      <c r="L132" s="1">
        <v>1320652</v>
      </c>
      <c r="M132" s="2">
        <f t="shared" si="20"/>
        <v>1.03234490812758</v>
      </c>
      <c r="N132" s="1">
        <v>2086396</v>
      </c>
      <c r="O132" s="2">
        <f t="shared" si="21"/>
        <v>1.63092191352283</v>
      </c>
      <c r="P132" s="1">
        <v>864400</v>
      </c>
      <c r="Q132" s="2">
        <f t="shared" si="18"/>
        <v>0.675695746181037</v>
      </c>
      <c r="S132" s="1">
        <f t="shared" si="17"/>
        <v>1.15232911985019</v>
      </c>
      <c r="T132" s="1">
        <f t="shared" si="22"/>
        <v>1.17839616995811</v>
      </c>
      <c r="U132" s="1">
        <f t="shared" si="19"/>
        <v>0.887421695434675</v>
      </c>
      <c r="V132" s="1">
        <f t="shared" si="23"/>
        <v>1.07386905898072</v>
      </c>
      <c r="W132" s="1">
        <f t="shared" si="24"/>
        <v>1.00832117162096</v>
      </c>
    </row>
    <row r="133" spans="1:23">
      <c r="A133" s="1" t="s">
        <v>150</v>
      </c>
      <c r="B133" s="1">
        <v>62451</v>
      </c>
      <c r="C133" s="1">
        <v>62451</v>
      </c>
      <c r="D133" s="1">
        <v>4007383</v>
      </c>
      <c r="E133" s="1">
        <v>96.297</v>
      </c>
      <c r="F133" s="1">
        <v>81.043</v>
      </c>
      <c r="G133" s="1">
        <v>82.161</v>
      </c>
      <c r="H133" s="1">
        <v>64.258</v>
      </c>
      <c r="I133" s="1">
        <v>53.771</v>
      </c>
      <c r="J133" s="1">
        <v>45.823</v>
      </c>
      <c r="K133" s="1">
        <v>4007383</v>
      </c>
      <c r="L133" s="1">
        <v>4009142</v>
      </c>
      <c r="M133" s="2">
        <f t="shared" si="20"/>
        <v>1.00043893982681</v>
      </c>
      <c r="N133" s="1">
        <v>4531982</v>
      </c>
      <c r="O133" s="2">
        <f t="shared" si="21"/>
        <v>1.13090812632583</v>
      </c>
      <c r="P133" s="1">
        <v>2170494</v>
      </c>
      <c r="Q133" s="2">
        <f t="shared" si="18"/>
        <v>0.541623797875072</v>
      </c>
      <c r="S133" s="1">
        <f t="shared" si="17"/>
        <v>1.18822106782819</v>
      </c>
      <c r="T133" s="1">
        <f t="shared" si="22"/>
        <v>1.1720524336364</v>
      </c>
      <c r="U133" s="1">
        <f t="shared" si="19"/>
        <v>1.49859939618413</v>
      </c>
      <c r="V133" s="1">
        <f t="shared" si="23"/>
        <v>1.79087240334009</v>
      </c>
      <c r="W133" s="1">
        <f t="shared" si="24"/>
        <v>2.10149924710298</v>
      </c>
    </row>
    <row r="134" spans="1:23">
      <c r="A134" s="1" t="s">
        <v>151</v>
      </c>
      <c r="B134" s="1">
        <v>40216</v>
      </c>
      <c r="C134" s="1">
        <v>40216</v>
      </c>
      <c r="D134" s="1">
        <v>1042160</v>
      </c>
      <c r="E134" s="1">
        <v>20.641</v>
      </c>
      <c r="F134" s="1">
        <v>19.081</v>
      </c>
      <c r="G134" s="1">
        <v>17.16</v>
      </c>
      <c r="H134" s="1">
        <v>15.183</v>
      </c>
      <c r="I134" s="1">
        <v>11.379</v>
      </c>
      <c r="J134" s="1">
        <v>16.24</v>
      </c>
      <c r="K134" s="1">
        <v>1042160</v>
      </c>
      <c r="L134" s="1">
        <v>1042174</v>
      </c>
      <c r="M134" s="2">
        <f t="shared" si="20"/>
        <v>1.00001343363783</v>
      </c>
      <c r="N134" s="1">
        <v>1183176</v>
      </c>
      <c r="O134" s="2">
        <f t="shared" si="21"/>
        <v>1.13531127657941</v>
      </c>
      <c r="P134" s="1">
        <v>561506</v>
      </c>
      <c r="Q134" s="2">
        <f t="shared" si="18"/>
        <v>0.538790588777155</v>
      </c>
      <c r="S134" s="1">
        <f t="shared" si="17"/>
        <v>1.08175672134584</v>
      </c>
      <c r="T134" s="1">
        <f t="shared" si="22"/>
        <v>1.20285547785548</v>
      </c>
      <c r="U134" s="1">
        <f t="shared" si="19"/>
        <v>1.35948099848515</v>
      </c>
      <c r="V134" s="1">
        <f t="shared" si="23"/>
        <v>1.81395553212057</v>
      </c>
      <c r="W134" s="1">
        <f t="shared" si="24"/>
        <v>1.27099753694581</v>
      </c>
    </row>
    <row r="135" spans="1:23">
      <c r="A135" s="1" t="s">
        <v>152</v>
      </c>
      <c r="B135" s="1">
        <v>14454</v>
      </c>
      <c r="C135" s="1">
        <v>14454</v>
      </c>
      <c r="D135" s="1">
        <v>147972</v>
      </c>
      <c r="E135" s="1">
        <v>2.692</v>
      </c>
      <c r="F135" s="1">
        <v>3.276</v>
      </c>
      <c r="G135" s="1">
        <v>2.524</v>
      </c>
      <c r="H135" s="1">
        <v>2.802</v>
      </c>
      <c r="I135" s="1">
        <v>1.951</v>
      </c>
      <c r="J135" s="1">
        <v>2.593</v>
      </c>
      <c r="K135" s="1">
        <v>147972</v>
      </c>
      <c r="L135" s="1">
        <v>154048</v>
      </c>
      <c r="M135" s="2">
        <f t="shared" si="20"/>
        <v>1.04106182250696</v>
      </c>
      <c r="N135" s="1">
        <v>209424</v>
      </c>
      <c r="O135" s="2">
        <f t="shared" si="21"/>
        <v>1.41529478549996</v>
      </c>
      <c r="P135" s="1">
        <v>89132</v>
      </c>
      <c r="Q135" s="2">
        <f t="shared" si="18"/>
        <v>0.602357202714027</v>
      </c>
      <c r="S135" s="1">
        <f t="shared" si="17"/>
        <v>0.821733821733822</v>
      </c>
      <c r="T135" s="1">
        <f t="shared" si="22"/>
        <v>1.06656101426307</v>
      </c>
      <c r="U135" s="1">
        <f t="shared" si="19"/>
        <v>0.96074232690935</v>
      </c>
      <c r="V135" s="1">
        <f t="shared" si="23"/>
        <v>1.37980522808816</v>
      </c>
      <c r="W135" s="1">
        <f t="shared" si="24"/>
        <v>1.03817971461627</v>
      </c>
    </row>
    <row r="136" spans="1:23">
      <c r="A136" s="1" t="s">
        <v>153</v>
      </c>
      <c r="B136" s="1">
        <v>345241</v>
      </c>
      <c r="C136" s="1">
        <v>345241</v>
      </c>
      <c r="D136" s="1">
        <v>2341011</v>
      </c>
      <c r="E136" s="1">
        <v>83.903</v>
      </c>
      <c r="F136" s="1">
        <v>78.852</v>
      </c>
      <c r="G136" s="1">
        <v>76.801</v>
      </c>
      <c r="H136" s="1">
        <v>96.075</v>
      </c>
      <c r="I136" s="1">
        <v>68.711</v>
      </c>
      <c r="J136" s="1">
        <v>81.75</v>
      </c>
      <c r="K136" s="1">
        <v>2341011</v>
      </c>
      <c r="L136" s="1">
        <v>2367736</v>
      </c>
      <c r="M136" s="2">
        <f t="shared" si="20"/>
        <v>1.0114160078701</v>
      </c>
      <c r="N136" s="1">
        <v>3478658</v>
      </c>
      <c r="O136" s="2">
        <f t="shared" si="21"/>
        <v>1.48596397026755</v>
      </c>
      <c r="P136" s="1">
        <v>1465876</v>
      </c>
      <c r="Q136" s="2">
        <f t="shared" si="18"/>
        <v>0.626172196542434</v>
      </c>
      <c r="S136" s="1">
        <f t="shared" si="17"/>
        <v>1.06405671384366</v>
      </c>
      <c r="T136" s="1">
        <f t="shared" si="22"/>
        <v>1.09247275426101</v>
      </c>
      <c r="U136" s="1">
        <f t="shared" si="19"/>
        <v>0.873307311995837</v>
      </c>
      <c r="V136" s="1">
        <f t="shared" si="23"/>
        <v>1.22109996943721</v>
      </c>
      <c r="W136" s="1">
        <f t="shared" si="24"/>
        <v>1.02633639143731</v>
      </c>
    </row>
    <row r="137" spans="1:23">
      <c r="A137" s="1" t="s">
        <v>154</v>
      </c>
      <c r="B137" s="1">
        <v>13681</v>
      </c>
      <c r="C137" s="1">
        <v>13681</v>
      </c>
      <c r="D137" s="1">
        <v>676515</v>
      </c>
      <c r="E137" s="1">
        <v>12.905</v>
      </c>
      <c r="F137" s="1">
        <v>10.48</v>
      </c>
      <c r="G137" s="1">
        <v>10.71</v>
      </c>
      <c r="H137" s="1">
        <v>8.018</v>
      </c>
      <c r="I137" s="1">
        <v>6.835</v>
      </c>
      <c r="J137" s="1">
        <v>7.893</v>
      </c>
      <c r="K137" s="1">
        <v>676515</v>
      </c>
      <c r="L137" s="1">
        <v>677316</v>
      </c>
      <c r="M137" s="2">
        <f t="shared" si="20"/>
        <v>1.00118400922374</v>
      </c>
      <c r="N137" s="1">
        <v>708736</v>
      </c>
      <c r="O137" s="2">
        <f t="shared" si="21"/>
        <v>1.047627916602</v>
      </c>
      <c r="P137" s="1">
        <v>359726</v>
      </c>
      <c r="Q137" s="2">
        <f t="shared" si="18"/>
        <v>0.531733960074795</v>
      </c>
      <c r="S137" s="1">
        <f t="shared" ref="S137:S200" si="25">E137/F137</f>
        <v>1.23139312977099</v>
      </c>
      <c r="T137" s="1">
        <f t="shared" si="22"/>
        <v>1.20494864612512</v>
      </c>
      <c r="U137" s="1">
        <f t="shared" si="19"/>
        <v>1.60950361686206</v>
      </c>
      <c r="V137" s="1">
        <f t="shared" si="23"/>
        <v>1.88807607900512</v>
      </c>
      <c r="W137" s="1">
        <f t="shared" si="24"/>
        <v>1.63499303180033</v>
      </c>
    </row>
    <row r="138" spans="1:23">
      <c r="A138" s="1" t="s">
        <v>155</v>
      </c>
      <c r="B138" s="1">
        <v>70656</v>
      </c>
      <c r="C138" s="1">
        <v>70656</v>
      </c>
      <c r="D138" s="1">
        <v>1828364</v>
      </c>
      <c r="E138" s="1">
        <v>35.946</v>
      </c>
      <c r="F138" s="1">
        <v>31.266</v>
      </c>
      <c r="G138" s="1">
        <v>31.478</v>
      </c>
      <c r="H138" s="1">
        <v>36.521</v>
      </c>
      <c r="I138" s="1">
        <v>29.652</v>
      </c>
      <c r="J138" s="1">
        <v>24.421</v>
      </c>
      <c r="K138" s="1">
        <v>1828364</v>
      </c>
      <c r="L138" s="1">
        <v>1828830</v>
      </c>
      <c r="M138" s="2">
        <f t="shared" si="20"/>
        <v>1.00025487266212</v>
      </c>
      <c r="N138" s="1">
        <v>2702550</v>
      </c>
      <c r="O138" s="2">
        <f t="shared" si="21"/>
        <v>1.47812470602134</v>
      </c>
      <c r="P138" s="1">
        <v>1119556</v>
      </c>
      <c r="Q138" s="2">
        <f t="shared" si="18"/>
        <v>0.612326648304167</v>
      </c>
      <c r="S138" s="1">
        <f t="shared" si="25"/>
        <v>1.1496833621186</v>
      </c>
      <c r="T138" s="1">
        <f t="shared" si="22"/>
        <v>1.14194040282102</v>
      </c>
      <c r="U138" s="1">
        <f t="shared" si="19"/>
        <v>0.984255633744969</v>
      </c>
      <c r="V138" s="1">
        <f t="shared" si="23"/>
        <v>1.21226224200728</v>
      </c>
      <c r="W138" s="1">
        <f t="shared" si="24"/>
        <v>1.47192989640064</v>
      </c>
    </row>
    <row r="139" spans="1:23">
      <c r="A139" s="1" t="s">
        <v>156</v>
      </c>
      <c r="B139" s="1">
        <v>123440</v>
      </c>
      <c r="C139" s="1">
        <v>123440</v>
      </c>
      <c r="D139" s="1">
        <v>3087898</v>
      </c>
      <c r="E139" s="1">
        <v>72.778</v>
      </c>
      <c r="F139" s="1">
        <v>69.191</v>
      </c>
      <c r="G139" s="1">
        <v>67.912</v>
      </c>
      <c r="H139" s="1">
        <v>72.92</v>
      </c>
      <c r="I139" s="1">
        <v>43.249</v>
      </c>
      <c r="J139" s="1">
        <v>43.511</v>
      </c>
      <c r="K139" s="1">
        <v>3087898</v>
      </c>
      <c r="L139" s="1">
        <v>3089582</v>
      </c>
      <c r="M139" s="2">
        <f t="shared" si="20"/>
        <v>1.00054535480123</v>
      </c>
      <c r="N139" s="1">
        <v>4005412</v>
      </c>
      <c r="O139" s="2">
        <f t="shared" si="21"/>
        <v>1.29713222392709</v>
      </c>
      <c r="P139" s="1">
        <v>1757714</v>
      </c>
      <c r="Q139" s="2">
        <f t="shared" si="18"/>
        <v>0.569226703731794</v>
      </c>
      <c r="S139" s="1">
        <f t="shared" si="25"/>
        <v>1.05184200257259</v>
      </c>
      <c r="T139" s="1">
        <f t="shared" si="22"/>
        <v>1.07165154906349</v>
      </c>
      <c r="U139" s="1">
        <f t="shared" si="19"/>
        <v>0.998052660449808</v>
      </c>
      <c r="V139" s="1">
        <f t="shared" si="23"/>
        <v>1.68276723161229</v>
      </c>
      <c r="W139" s="1">
        <f t="shared" si="24"/>
        <v>1.67263450621682</v>
      </c>
    </row>
    <row r="140" spans="1:23">
      <c r="A140" s="1" t="s">
        <v>157</v>
      </c>
      <c r="B140" s="1">
        <v>221119</v>
      </c>
      <c r="C140" s="1">
        <v>221119</v>
      </c>
      <c r="D140" s="1">
        <v>7666057</v>
      </c>
      <c r="E140" s="1">
        <v>206.786</v>
      </c>
      <c r="F140" s="1">
        <v>194.1</v>
      </c>
      <c r="G140" s="1">
        <v>184.809</v>
      </c>
      <c r="H140" s="1">
        <v>230.863</v>
      </c>
      <c r="I140" s="1">
        <v>154.121</v>
      </c>
      <c r="J140" s="1">
        <v>130.975</v>
      </c>
      <c r="K140" s="1">
        <v>7666057</v>
      </c>
      <c r="L140" s="1">
        <v>7671378</v>
      </c>
      <c r="M140" s="2">
        <f t="shared" si="20"/>
        <v>1.00069409867419</v>
      </c>
      <c r="N140" s="1">
        <v>12772538</v>
      </c>
      <c r="O140" s="2">
        <f t="shared" si="21"/>
        <v>1.66611570981014</v>
      </c>
      <c r="P140" s="1">
        <v>5209834</v>
      </c>
      <c r="Q140" s="2">
        <f t="shared" si="18"/>
        <v>0.679597608001088</v>
      </c>
      <c r="S140" s="1">
        <f t="shared" si="25"/>
        <v>1.0653580628542</v>
      </c>
      <c r="T140" s="1">
        <f t="shared" si="22"/>
        <v>1.11891736874286</v>
      </c>
      <c r="U140" s="1">
        <f t="shared" si="19"/>
        <v>0.89570871036069</v>
      </c>
      <c r="V140" s="1">
        <f t="shared" si="23"/>
        <v>1.3417120314558</v>
      </c>
      <c r="W140" s="1">
        <f t="shared" si="24"/>
        <v>1.57882038556977</v>
      </c>
    </row>
    <row r="141" spans="1:23">
      <c r="A141" s="1" t="s">
        <v>158</v>
      </c>
      <c r="B141" s="1">
        <v>16726</v>
      </c>
      <c r="C141" s="1">
        <v>16726</v>
      </c>
      <c r="D141" s="1">
        <v>95188</v>
      </c>
      <c r="E141" s="1">
        <v>2.574</v>
      </c>
      <c r="F141" s="1">
        <v>3.108</v>
      </c>
      <c r="G141" s="1">
        <v>1.86</v>
      </c>
      <c r="H141" s="1">
        <v>2.855</v>
      </c>
      <c r="I141" s="1">
        <v>3.316</v>
      </c>
      <c r="J141" s="1">
        <v>2.561</v>
      </c>
      <c r="K141" s="1">
        <v>95188</v>
      </c>
      <c r="L141" s="1">
        <v>96240</v>
      </c>
      <c r="M141" s="2">
        <f t="shared" si="20"/>
        <v>1.01105181325377</v>
      </c>
      <c r="N141" s="1">
        <v>152970</v>
      </c>
      <c r="O141" s="2">
        <f t="shared" si="21"/>
        <v>1.60703029793671</v>
      </c>
      <c r="P141" s="1">
        <v>87182</v>
      </c>
      <c r="Q141" s="2">
        <f t="shared" si="18"/>
        <v>0.915892759591545</v>
      </c>
      <c r="S141" s="1">
        <f t="shared" si="25"/>
        <v>0.828185328185328</v>
      </c>
      <c r="T141" s="1">
        <f t="shared" si="22"/>
        <v>1.38387096774194</v>
      </c>
      <c r="U141" s="1">
        <f t="shared" si="19"/>
        <v>0.901576182136602</v>
      </c>
      <c r="V141" s="1">
        <f t="shared" si="23"/>
        <v>0.776236429433052</v>
      </c>
      <c r="W141" s="1">
        <f t="shared" si="24"/>
        <v>1.00507614213198</v>
      </c>
    </row>
    <row r="142" spans="1:23">
      <c r="A142" s="1" t="s">
        <v>159</v>
      </c>
      <c r="B142" s="1">
        <v>31163</v>
      </c>
      <c r="C142" s="1">
        <v>31163</v>
      </c>
      <c r="D142" s="1">
        <v>240058</v>
      </c>
      <c r="E142" s="1">
        <v>6.796</v>
      </c>
      <c r="F142" s="1">
        <v>7.69</v>
      </c>
      <c r="G142" s="1">
        <v>5.881</v>
      </c>
      <c r="H142" s="1">
        <v>8.034</v>
      </c>
      <c r="I142" s="1">
        <v>9.498</v>
      </c>
      <c r="J142" s="1">
        <v>7.429</v>
      </c>
      <c r="K142" s="1">
        <v>240058</v>
      </c>
      <c r="L142" s="1">
        <v>242308</v>
      </c>
      <c r="M142" s="2">
        <f t="shared" si="20"/>
        <v>1.00937273492239</v>
      </c>
      <c r="N142" s="1">
        <v>386590</v>
      </c>
      <c r="O142" s="2">
        <f t="shared" si="21"/>
        <v>1.61040248606587</v>
      </c>
      <c r="P142" s="1">
        <v>209384</v>
      </c>
      <c r="Q142" s="2">
        <f t="shared" si="18"/>
        <v>0.872222546217997</v>
      </c>
      <c r="S142" s="1">
        <f t="shared" si="25"/>
        <v>0.883745123537061</v>
      </c>
      <c r="T142" s="1">
        <f t="shared" si="22"/>
        <v>1.15558578473049</v>
      </c>
      <c r="U142" s="1">
        <f t="shared" si="19"/>
        <v>0.845904904157331</v>
      </c>
      <c r="V142" s="1">
        <f t="shared" si="23"/>
        <v>0.715519056643504</v>
      </c>
      <c r="W142" s="1">
        <f t="shared" si="24"/>
        <v>0.914793377305155</v>
      </c>
    </row>
    <row r="143" spans="1:23">
      <c r="A143" s="1" t="s">
        <v>160</v>
      </c>
      <c r="B143" s="1">
        <v>40421</v>
      </c>
      <c r="C143" s="1">
        <v>40421</v>
      </c>
      <c r="D143" s="1">
        <v>351386</v>
      </c>
      <c r="E143" s="1">
        <v>9.378</v>
      </c>
      <c r="F143" s="1">
        <v>10.603</v>
      </c>
      <c r="G143" s="1">
        <v>8.469</v>
      </c>
      <c r="H143" s="1">
        <v>11.262</v>
      </c>
      <c r="I143" s="1">
        <v>13.848</v>
      </c>
      <c r="J143" s="1">
        <v>10.699</v>
      </c>
      <c r="K143" s="1">
        <v>351386</v>
      </c>
      <c r="L143" s="1">
        <v>354970</v>
      </c>
      <c r="M143" s="2">
        <f t="shared" si="20"/>
        <v>1.0101996095462</v>
      </c>
      <c r="N143" s="1">
        <v>574556</v>
      </c>
      <c r="O143" s="2">
        <f t="shared" si="21"/>
        <v>1.63511352188192</v>
      </c>
      <c r="P143" s="1">
        <v>305160</v>
      </c>
      <c r="Q143" s="2">
        <f t="shared" ref="Q143:Q206" si="26">P143/K143</f>
        <v>0.868446665490372</v>
      </c>
      <c r="S143" s="1">
        <f t="shared" si="25"/>
        <v>0.884466660379138</v>
      </c>
      <c r="T143" s="1">
        <f t="shared" si="22"/>
        <v>1.10733262486716</v>
      </c>
      <c r="U143" s="1">
        <f t="shared" si="19"/>
        <v>0.832711774107619</v>
      </c>
      <c r="V143" s="1">
        <f t="shared" si="23"/>
        <v>0.677209705372617</v>
      </c>
      <c r="W143" s="1">
        <f t="shared" si="24"/>
        <v>0.876530516870736</v>
      </c>
    </row>
    <row r="144" spans="1:23">
      <c r="A144" s="1" t="s">
        <v>161</v>
      </c>
      <c r="B144" s="1">
        <v>83334</v>
      </c>
      <c r="C144" s="1">
        <v>83334</v>
      </c>
      <c r="D144" s="1">
        <v>6010480</v>
      </c>
      <c r="E144" s="1">
        <v>154.929</v>
      </c>
      <c r="F144" s="1">
        <v>202.625</v>
      </c>
      <c r="G144" s="1">
        <v>194.392</v>
      </c>
      <c r="H144" s="1">
        <v>93.769</v>
      </c>
      <c r="I144" s="1">
        <v>82.625</v>
      </c>
      <c r="J144" s="1">
        <v>140.669</v>
      </c>
      <c r="K144" s="1">
        <v>6010480</v>
      </c>
      <c r="L144" s="1">
        <v>6015026</v>
      </c>
      <c r="M144" s="2">
        <f t="shared" si="20"/>
        <v>1.00075634558305</v>
      </c>
      <c r="N144" s="1">
        <v>6696574</v>
      </c>
      <c r="O144" s="2">
        <f t="shared" si="21"/>
        <v>1.11414961866606</v>
      </c>
      <c r="P144" s="1">
        <v>3101292</v>
      </c>
      <c r="Q144" s="2">
        <f t="shared" si="26"/>
        <v>0.515980753617016</v>
      </c>
      <c r="S144" s="1">
        <f t="shared" si="25"/>
        <v>0.764609500308452</v>
      </c>
      <c r="T144" s="1">
        <f t="shared" si="22"/>
        <v>0.796992674595662</v>
      </c>
      <c r="U144" s="1">
        <f t="shared" si="19"/>
        <v>1.65224114579445</v>
      </c>
      <c r="V144" s="1">
        <f t="shared" si="23"/>
        <v>1.87508623298033</v>
      </c>
      <c r="W144" s="1">
        <f t="shared" si="24"/>
        <v>1.10137272604483</v>
      </c>
    </row>
    <row r="145" spans="1:23">
      <c r="A145" s="1" t="s">
        <v>162</v>
      </c>
      <c r="B145" s="1">
        <v>80595</v>
      </c>
      <c r="C145" s="1">
        <v>80595</v>
      </c>
      <c r="D145" s="1">
        <v>438795</v>
      </c>
      <c r="E145" s="1">
        <v>10.037</v>
      </c>
      <c r="F145" s="1">
        <v>14.645</v>
      </c>
      <c r="G145" s="1">
        <v>9.456</v>
      </c>
      <c r="H145" s="1">
        <v>12.572</v>
      </c>
      <c r="I145" s="1">
        <v>8.442</v>
      </c>
      <c r="J145" s="1">
        <v>9.364</v>
      </c>
      <c r="K145" s="1">
        <v>438795</v>
      </c>
      <c r="L145" s="1">
        <v>439084</v>
      </c>
      <c r="M145" s="2">
        <f t="shared" si="20"/>
        <v>1.00065862190772</v>
      </c>
      <c r="N145" s="1">
        <v>718390</v>
      </c>
      <c r="O145" s="2">
        <f t="shared" si="21"/>
        <v>1.63718820861678</v>
      </c>
      <c r="P145" s="1">
        <v>281200</v>
      </c>
      <c r="Q145" s="2">
        <f t="shared" si="26"/>
        <v>0.640845953121617</v>
      </c>
      <c r="S145" s="1">
        <f t="shared" si="25"/>
        <v>0.685353362922499</v>
      </c>
      <c r="T145" s="1">
        <f t="shared" si="22"/>
        <v>1.06144247038917</v>
      </c>
      <c r="U145" s="1">
        <f t="shared" si="19"/>
        <v>0.798361438116449</v>
      </c>
      <c r="V145" s="1">
        <f t="shared" si="23"/>
        <v>1.18893627102582</v>
      </c>
      <c r="W145" s="1">
        <f t="shared" si="24"/>
        <v>1.07187099530115</v>
      </c>
    </row>
    <row r="146" spans="1:23">
      <c r="A146" s="1" t="s">
        <v>163</v>
      </c>
      <c r="B146" s="1">
        <v>180895</v>
      </c>
      <c r="C146" s="1">
        <v>180895</v>
      </c>
      <c r="D146" s="1">
        <v>988195</v>
      </c>
      <c r="E146" s="1">
        <v>23.63</v>
      </c>
      <c r="F146" s="1">
        <v>33.457</v>
      </c>
      <c r="G146" s="1">
        <v>23.592</v>
      </c>
      <c r="H146" s="1">
        <v>30.474</v>
      </c>
      <c r="I146" s="1">
        <v>20.418</v>
      </c>
      <c r="J146" s="1">
        <v>21.103</v>
      </c>
      <c r="K146" s="1">
        <v>988195</v>
      </c>
      <c r="L146" s="1">
        <v>988562</v>
      </c>
      <c r="M146" s="2">
        <f t="shared" si="20"/>
        <v>1.00037138419037</v>
      </c>
      <c r="N146" s="1">
        <v>1617590</v>
      </c>
      <c r="O146" s="2">
        <f t="shared" si="21"/>
        <v>1.63691376701967</v>
      </c>
      <c r="P146" s="1">
        <v>631794</v>
      </c>
      <c r="Q146" s="2">
        <f t="shared" si="26"/>
        <v>0.639341425528362</v>
      </c>
      <c r="S146" s="1">
        <f t="shared" si="25"/>
        <v>0.70627970230445</v>
      </c>
      <c r="T146" s="1">
        <f t="shared" si="22"/>
        <v>1.00161071549678</v>
      </c>
      <c r="U146" s="1">
        <f t="shared" si="19"/>
        <v>0.775415107960885</v>
      </c>
      <c r="V146" s="1">
        <f t="shared" si="23"/>
        <v>1.15731217553139</v>
      </c>
      <c r="W146" s="1">
        <f t="shared" si="24"/>
        <v>1.11974600767663</v>
      </c>
    </row>
    <row r="147" spans="1:23">
      <c r="A147" s="1" t="s">
        <v>164</v>
      </c>
      <c r="B147" s="1">
        <v>121192</v>
      </c>
      <c r="C147" s="1">
        <v>121192</v>
      </c>
      <c r="D147" s="1">
        <v>2624331</v>
      </c>
      <c r="E147" s="1">
        <v>73.624</v>
      </c>
      <c r="F147" s="1">
        <v>76.098</v>
      </c>
      <c r="G147" s="1">
        <v>72.465</v>
      </c>
      <c r="H147" s="1">
        <v>65.837</v>
      </c>
      <c r="I147" s="1">
        <v>60.008</v>
      </c>
      <c r="J147" s="1">
        <v>70.372</v>
      </c>
      <c r="K147" s="1">
        <v>2624331</v>
      </c>
      <c r="L147" s="1">
        <v>2625484</v>
      </c>
      <c r="M147" s="2">
        <f t="shared" si="20"/>
        <v>1.00043935006674</v>
      </c>
      <c r="N147" s="1">
        <v>3174452</v>
      </c>
      <c r="O147" s="2">
        <f t="shared" si="21"/>
        <v>1.20962332876455</v>
      </c>
      <c r="P147" s="1">
        <v>1491322</v>
      </c>
      <c r="Q147" s="2">
        <f t="shared" si="26"/>
        <v>0.568267493696489</v>
      </c>
      <c r="S147" s="1">
        <f t="shared" si="25"/>
        <v>0.96748929012589</v>
      </c>
      <c r="T147" s="1">
        <f t="shared" si="22"/>
        <v>1.01599392810322</v>
      </c>
      <c r="U147" s="1">
        <f t="shared" ref="U147:U210" si="27">E147/H147</f>
        <v>1.11827695672646</v>
      </c>
      <c r="V147" s="1">
        <f t="shared" si="23"/>
        <v>1.22690307958939</v>
      </c>
      <c r="W147" s="1">
        <f t="shared" si="24"/>
        <v>1.04621156141647</v>
      </c>
    </row>
    <row r="148" spans="1:23">
      <c r="A148" s="1" t="s">
        <v>165</v>
      </c>
      <c r="B148" s="1">
        <v>55476</v>
      </c>
      <c r="C148" s="1">
        <v>55476</v>
      </c>
      <c r="D148" s="1">
        <v>759952</v>
      </c>
      <c r="E148" s="1">
        <v>16.548</v>
      </c>
      <c r="F148" s="1">
        <v>16.947</v>
      </c>
      <c r="G148" s="1">
        <v>14.844</v>
      </c>
      <c r="H148" s="1">
        <v>19.304</v>
      </c>
      <c r="I148" s="1">
        <v>19.599</v>
      </c>
      <c r="J148" s="1">
        <v>15.74</v>
      </c>
      <c r="K148" s="1">
        <v>759952</v>
      </c>
      <c r="L148" s="1">
        <v>761034</v>
      </c>
      <c r="M148" s="2">
        <f t="shared" si="20"/>
        <v>1.0014237741331</v>
      </c>
      <c r="N148" s="1">
        <v>1180104</v>
      </c>
      <c r="O148" s="2">
        <f t="shared" si="21"/>
        <v>1.55286649683138</v>
      </c>
      <c r="P148" s="1">
        <v>568778</v>
      </c>
      <c r="Q148" s="2">
        <f t="shared" si="26"/>
        <v>0.748439375118429</v>
      </c>
      <c r="S148" s="1">
        <f t="shared" si="25"/>
        <v>0.976456009913259</v>
      </c>
      <c r="T148" s="1">
        <f t="shared" si="22"/>
        <v>1.11479385610348</v>
      </c>
      <c r="U148" s="1">
        <f t="shared" si="27"/>
        <v>0.857231661831745</v>
      </c>
      <c r="V148" s="1">
        <f t="shared" si="23"/>
        <v>0.844328792285321</v>
      </c>
      <c r="W148" s="1">
        <f t="shared" si="24"/>
        <v>1.05133418043202</v>
      </c>
    </row>
    <row r="149" spans="1:23">
      <c r="A149" s="1" t="s">
        <v>166</v>
      </c>
      <c r="B149" s="1">
        <v>52804</v>
      </c>
      <c r="C149" s="1">
        <v>52804</v>
      </c>
      <c r="D149" s="1">
        <v>10614210</v>
      </c>
      <c r="E149" s="1">
        <v>418.268</v>
      </c>
      <c r="F149" s="1">
        <v>393.888</v>
      </c>
      <c r="G149" s="1">
        <v>219.576</v>
      </c>
      <c r="H149" s="1">
        <v>176.854</v>
      </c>
      <c r="I149" s="1">
        <v>149.705</v>
      </c>
      <c r="J149" s="1">
        <v>206.979</v>
      </c>
      <c r="K149" s="1">
        <v>10614210</v>
      </c>
      <c r="L149" s="1">
        <v>10624454</v>
      </c>
      <c r="M149" s="2">
        <f t="shared" si="20"/>
        <v>1.00096512128552</v>
      </c>
      <c r="N149" s="1">
        <v>11388498</v>
      </c>
      <c r="O149" s="2">
        <f t="shared" si="21"/>
        <v>1.07294824579502</v>
      </c>
      <c r="P149" s="1">
        <v>5423370</v>
      </c>
      <c r="Q149" s="2">
        <f t="shared" si="26"/>
        <v>0.510953712052051</v>
      </c>
      <c r="S149" s="1">
        <f t="shared" si="25"/>
        <v>1.06189576732472</v>
      </c>
      <c r="T149" s="1">
        <f t="shared" si="22"/>
        <v>1.90488942325209</v>
      </c>
      <c r="U149" s="1">
        <f t="shared" si="27"/>
        <v>2.3650468748233</v>
      </c>
      <c r="V149" s="1">
        <f t="shared" si="23"/>
        <v>2.79394809792592</v>
      </c>
      <c r="W149" s="1">
        <f t="shared" si="24"/>
        <v>2.0208233685543</v>
      </c>
    </row>
    <row r="150" spans="1:23">
      <c r="A150" s="1" t="s">
        <v>167</v>
      </c>
      <c r="B150" s="1">
        <v>63838</v>
      </c>
      <c r="C150" s="1">
        <v>63838</v>
      </c>
      <c r="D150" s="1">
        <v>14148858</v>
      </c>
      <c r="E150" s="1">
        <v>521.188</v>
      </c>
      <c r="F150" s="1">
        <v>510.724</v>
      </c>
      <c r="G150" s="1">
        <v>314.096</v>
      </c>
      <c r="H150" s="1">
        <v>250.778</v>
      </c>
      <c r="I150" s="1">
        <v>201.317</v>
      </c>
      <c r="J150" s="1">
        <v>172.16</v>
      </c>
      <c r="K150" s="1">
        <v>14148858</v>
      </c>
      <c r="L150" s="1">
        <v>14161516</v>
      </c>
      <c r="M150" s="2">
        <f t="shared" si="20"/>
        <v>1.00089463050658</v>
      </c>
      <c r="N150" s="1">
        <v>15087470</v>
      </c>
      <c r="O150" s="2">
        <f t="shared" si="21"/>
        <v>1.0663383574844</v>
      </c>
      <c r="P150" s="1">
        <v>7216254</v>
      </c>
      <c r="Q150" s="2">
        <f t="shared" si="26"/>
        <v>0.510023777183996</v>
      </c>
      <c r="S150" s="1">
        <f t="shared" si="25"/>
        <v>1.02048856133646</v>
      </c>
      <c r="T150" s="1">
        <f t="shared" si="22"/>
        <v>1.65932708471295</v>
      </c>
      <c r="U150" s="1">
        <f t="shared" si="27"/>
        <v>2.07828437901251</v>
      </c>
      <c r="V150" s="1">
        <f t="shared" si="23"/>
        <v>2.5888921452237</v>
      </c>
      <c r="W150" s="1">
        <f t="shared" si="24"/>
        <v>3.02734665427509</v>
      </c>
    </row>
    <row r="151" spans="1:23">
      <c r="A151" s="1" t="s">
        <v>168</v>
      </c>
      <c r="B151" s="1">
        <v>4875</v>
      </c>
      <c r="C151" s="1">
        <v>4875</v>
      </c>
      <c r="D151" s="1">
        <v>315891</v>
      </c>
      <c r="E151" s="1">
        <v>6.808</v>
      </c>
      <c r="F151" s="1">
        <v>4.591</v>
      </c>
      <c r="G151" s="1">
        <v>4.695</v>
      </c>
      <c r="H151" s="1">
        <v>3.765</v>
      </c>
      <c r="I151" s="1">
        <v>3.003</v>
      </c>
      <c r="J151" s="1">
        <v>3.571</v>
      </c>
      <c r="K151" s="1">
        <v>315891</v>
      </c>
      <c r="L151" s="1">
        <v>316136</v>
      </c>
      <c r="M151" s="2">
        <f t="shared" si="20"/>
        <v>1.00077558398308</v>
      </c>
      <c r="N151" s="1">
        <v>347226</v>
      </c>
      <c r="O151" s="2">
        <f t="shared" si="21"/>
        <v>1.09919560861183</v>
      </c>
      <c r="P151" s="1">
        <v>162584</v>
      </c>
      <c r="Q151" s="2">
        <f t="shared" si="26"/>
        <v>0.514683862471549</v>
      </c>
      <c r="S151" s="1">
        <f t="shared" si="25"/>
        <v>1.48290132868656</v>
      </c>
      <c r="T151" s="1">
        <f t="shared" si="22"/>
        <v>1.45005324813632</v>
      </c>
      <c r="U151" s="1">
        <f t="shared" si="27"/>
        <v>1.80823373173971</v>
      </c>
      <c r="V151" s="1">
        <f t="shared" si="23"/>
        <v>2.26706626706627</v>
      </c>
      <c r="W151" s="1">
        <f t="shared" si="24"/>
        <v>1.90646877625315</v>
      </c>
    </row>
    <row r="152" spans="1:23">
      <c r="A152" s="1" t="s">
        <v>169</v>
      </c>
      <c r="B152" s="1">
        <v>13965</v>
      </c>
      <c r="C152" s="1">
        <v>13965</v>
      </c>
      <c r="D152" s="1">
        <v>968583</v>
      </c>
      <c r="E152" s="1">
        <v>18.822</v>
      </c>
      <c r="F152" s="1">
        <v>14.436</v>
      </c>
      <c r="G152" s="1">
        <v>15.462</v>
      </c>
      <c r="H152" s="1">
        <v>13.29</v>
      </c>
      <c r="I152" s="1">
        <v>9.869</v>
      </c>
      <c r="J152" s="1">
        <v>10.373</v>
      </c>
      <c r="K152" s="1">
        <v>968583</v>
      </c>
      <c r="L152" s="1">
        <v>969138</v>
      </c>
      <c r="M152" s="2">
        <f t="shared" si="20"/>
        <v>1.00057300200396</v>
      </c>
      <c r="N152" s="1">
        <v>1068392</v>
      </c>
      <c r="O152" s="2">
        <f t="shared" si="21"/>
        <v>1.10304640903258</v>
      </c>
      <c r="P152" s="1">
        <v>497068</v>
      </c>
      <c r="Q152" s="2">
        <f t="shared" si="26"/>
        <v>0.513190919105539</v>
      </c>
      <c r="S152" s="1">
        <f t="shared" si="25"/>
        <v>1.30382377389859</v>
      </c>
      <c r="T152" s="1">
        <f t="shared" si="22"/>
        <v>1.21730694606131</v>
      </c>
      <c r="U152" s="1">
        <f t="shared" si="27"/>
        <v>1.41625282167043</v>
      </c>
      <c r="V152" s="1">
        <f t="shared" si="23"/>
        <v>1.90718411186544</v>
      </c>
      <c r="W152" s="1">
        <f t="shared" si="24"/>
        <v>1.81451846139015</v>
      </c>
    </row>
    <row r="153" spans="1:23">
      <c r="A153" s="1" t="s">
        <v>170</v>
      </c>
      <c r="B153" s="1">
        <v>24696</v>
      </c>
      <c r="C153" s="1">
        <v>24696</v>
      </c>
      <c r="D153" s="1">
        <v>1751178</v>
      </c>
      <c r="E153" s="1">
        <v>35.299</v>
      </c>
      <c r="F153" s="1">
        <v>26.494</v>
      </c>
      <c r="G153" s="1">
        <v>28.463</v>
      </c>
      <c r="H153" s="1">
        <v>23.127</v>
      </c>
      <c r="I153" s="1">
        <v>17.499</v>
      </c>
      <c r="J153" s="1">
        <v>18.796</v>
      </c>
      <c r="K153" s="1">
        <v>1751178</v>
      </c>
      <c r="L153" s="1">
        <v>1751328</v>
      </c>
      <c r="M153" s="2">
        <f t="shared" si="20"/>
        <v>1.00008565662657</v>
      </c>
      <c r="N153" s="1">
        <v>1933016</v>
      </c>
      <c r="O153" s="2">
        <f t="shared" si="21"/>
        <v>1.10383753107908</v>
      </c>
      <c r="P153" s="1">
        <v>898008</v>
      </c>
      <c r="Q153" s="2">
        <f t="shared" si="26"/>
        <v>0.512802239406845</v>
      </c>
      <c r="S153" s="1">
        <f t="shared" si="25"/>
        <v>1.33233939759946</v>
      </c>
      <c r="T153" s="1">
        <f t="shared" si="22"/>
        <v>1.24017145065524</v>
      </c>
      <c r="U153" s="1">
        <f t="shared" si="27"/>
        <v>1.52631123794699</v>
      </c>
      <c r="V153" s="1">
        <f t="shared" si="23"/>
        <v>2.01720098291331</v>
      </c>
      <c r="W153" s="1">
        <f t="shared" si="24"/>
        <v>1.87800595871462</v>
      </c>
    </row>
    <row r="154" spans="1:23">
      <c r="A154" s="1" t="s">
        <v>171</v>
      </c>
      <c r="B154" s="1">
        <v>4875</v>
      </c>
      <c r="C154" s="1">
        <v>4875</v>
      </c>
      <c r="D154" s="1">
        <v>105339</v>
      </c>
      <c r="E154" s="1">
        <v>1.794</v>
      </c>
      <c r="F154" s="1">
        <v>1.6</v>
      </c>
      <c r="G154" s="1">
        <v>1.521</v>
      </c>
      <c r="H154" s="1">
        <v>2.379</v>
      </c>
      <c r="I154" s="1">
        <v>1.107</v>
      </c>
      <c r="J154" s="1">
        <v>1.383</v>
      </c>
      <c r="K154" s="1">
        <v>105339</v>
      </c>
      <c r="L154" s="1">
        <v>105422</v>
      </c>
      <c r="M154" s="2">
        <f t="shared" si="20"/>
        <v>1.00078793229478</v>
      </c>
      <c r="N154" s="1">
        <v>210678</v>
      </c>
      <c r="O154" s="2">
        <f t="shared" si="21"/>
        <v>2</v>
      </c>
      <c r="P154" s="1">
        <v>56126</v>
      </c>
      <c r="Q154" s="2">
        <f t="shared" si="26"/>
        <v>0.532813108155574</v>
      </c>
      <c r="S154" s="1">
        <f t="shared" si="25"/>
        <v>1.12125</v>
      </c>
      <c r="T154" s="1">
        <f t="shared" si="22"/>
        <v>1.17948717948718</v>
      </c>
      <c r="U154" s="1">
        <f t="shared" si="27"/>
        <v>0.754098360655738</v>
      </c>
      <c r="V154" s="1">
        <f t="shared" si="23"/>
        <v>1.62059620596206</v>
      </c>
      <c r="W154" s="1">
        <f t="shared" si="24"/>
        <v>1.29718004338395</v>
      </c>
    </row>
    <row r="155" spans="1:23">
      <c r="A155" s="1" t="s">
        <v>172</v>
      </c>
      <c r="B155" s="1">
        <v>13965</v>
      </c>
      <c r="C155" s="1">
        <v>13965</v>
      </c>
      <c r="D155" s="1">
        <v>322905</v>
      </c>
      <c r="E155" s="1">
        <v>5.835</v>
      </c>
      <c r="F155" s="1">
        <v>5.113</v>
      </c>
      <c r="G155" s="1">
        <v>5.063</v>
      </c>
      <c r="H155" s="1">
        <v>8.039</v>
      </c>
      <c r="I155" s="1">
        <v>3.754</v>
      </c>
      <c r="J155" s="1">
        <v>4.177</v>
      </c>
      <c r="K155" s="1">
        <v>322905</v>
      </c>
      <c r="L155" s="1">
        <v>323090</v>
      </c>
      <c r="M155" s="2">
        <f t="shared" si="20"/>
        <v>1.00057292392499</v>
      </c>
      <c r="N155" s="1">
        <v>645810</v>
      </c>
      <c r="O155" s="2">
        <f t="shared" si="21"/>
        <v>2</v>
      </c>
      <c r="P155" s="1">
        <v>170492</v>
      </c>
      <c r="Q155" s="2">
        <f t="shared" si="26"/>
        <v>0.527994301729611</v>
      </c>
      <c r="S155" s="1">
        <f t="shared" si="25"/>
        <v>1.14120868374731</v>
      </c>
      <c r="T155" s="1">
        <f t="shared" si="22"/>
        <v>1.15247876752913</v>
      </c>
      <c r="U155" s="1">
        <f t="shared" si="27"/>
        <v>0.725836546834183</v>
      </c>
      <c r="V155" s="1">
        <f t="shared" si="23"/>
        <v>1.55434203516249</v>
      </c>
      <c r="W155" s="1">
        <f t="shared" si="24"/>
        <v>1.39693559971271</v>
      </c>
    </row>
    <row r="156" spans="1:23">
      <c r="A156" s="1" t="s">
        <v>173</v>
      </c>
      <c r="B156" s="1">
        <v>24696</v>
      </c>
      <c r="C156" s="1">
        <v>24696</v>
      </c>
      <c r="D156" s="1">
        <v>583770</v>
      </c>
      <c r="E156" s="1">
        <v>10.536</v>
      </c>
      <c r="F156" s="1">
        <v>9.52</v>
      </c>
      <c r="G156" s="1">
        <v>9.35</v>
      </c>
      <c r="H156" s="1">
        <v>14.57</v>
      </c>
      <c r="I156" s="1">
        <v>7.176</v>
      </c>
      <c r="J156" s="1">
        <v>7.476</v>
      </c>
      <c r="K156" s="1">
        <v>583770</v>
      </c>
      <c r="L156" s="1">
        <v>583818</v>
      </c>
      <c r="M156" s="2">
        <f t="shared" si="20"/>
        <v>1.00008222416363</v>
      </c>
      <c r="N156" s="1">
        <v>1167540</v>
      </c>
      <c r="O156" s="2">
        <f t="shared" si="21"/>
        <v>2</v>
      </c>
      <c r="P156" s="1">
        <v>307568</v>
      </c>
      <c r="Q156" s="2">
        <f t="shared" si="26"/>
        <v>0.526865032461415</v>
      </c>
      <c r="S156" s="1">
        <f t="shared" si="25"/>
        <v>1.10672268907563</v>
      </c>
      <c r="T156" s="1">
        <f t="shared" si="22"/>
        <v>1.1268449197861</v>
      </c>
      <c r="U156" s="1">
        <f t="shared" si="27"/>
        <v>0.723129718599863</v>
      </c>
      <c r="V156" s="1">
        <f t="shared" si="23"/>
        <v>1.46822742474916</v>
      </c>
      <c r="W156" s="1">
        <f t="shared" si="24"/>
        <v>1.40930979133226</v>
      </c>
    </row>
    <row r="157" spans="1:23">
      <c r="A157" s="1" t="s">
        <v>174</v>
      </c>
      <c r="B157" s="1">
        <v>52329</v>
      </c>
      <c r="C157" s="1">
        <v>52329</v>
      </c>
      <c r="D157" s="1">
        <v>2698463</v>
      </c>
      <c r="E157" s="1">
        <v>62.823</v>
      </c>
      <c r="F157" s="1">
        <v>53.422</v>
      </c>
      <c r="G157" s="1">
        <v>55.474</v>
      </c>
      <c r="H157" s="1">
        <v>36.234</v>
      </c>
      <c r="I157" s="1">
        <v>30.968</v>
      </c>
      <c r="J157" s="1">
        <v>34.73</v>
      </c>
      <c r="K157" s="1">
        <v>2698463</v>
      </c>
      <c r="L157" s="1">
        <v>2701588</v>
      </c>
      <c r="M157" s="2">
        <f t="shared" si="20"/>
        <v>1.00115806664757</v>
      </c>
      <c r="N157" s="1">
        <v>2828932</v>
      </c>
      <c r="O157" s="2">
        <f t="shared" si="21"/>
        <v>1.04834937518135</v>
      </c>
      <c r="P157" s="1">
        <v>1417376</v>
      </c>
      <c r="Q157" s="2">
        <f t="shared" si="26"/>
        <v>0.525253079252893</v>
      </c>
      <c r="S157" s="1">
        <f t="shared" si="25"/>
        <v>1.17597618958482</v>
      </c>
      <c r="T157" s="1">
        <f t="shared" si="22"/>
        <v>1.13247647546598</v>
      </c>
      <c r="U157" s="1">
        <f t="shared" si="27"/>
        <v>1.73381354528896</v>
      </c>
      <c r="V157" s="1">
        <f t="shared" si="23"/>
        <v>2.02864246964609</v>
      </c>
      <c r="W157" s="1">
        <f t="shared" si="24"/>
        <v>1.80889720702563</v>
      </c>
    </row>
    <row r="158" spans="1:23">
      <c r="A158" s="1" t="s">
        <v>175</v>
      </c>
      <c r="B158" s="1">
        <v>2164760</v>
      </c>
      <c r="C158" s="1">
        <v>2164760</v>
      </c>
      <c r="D158" s="1">
        <v>127206144</v>
      </c>
      <c r="E158" s="1">
        <v>3326.71</v>
      </c>
      <c r="F158" s="1">
        <v>2815.38</v>
      </c>
      <c r="G158" s="1">
        <v>2853.59</v>
      </c>
      <c r="H158" s="1">
        <v>2116.73</v>
      </c>
      <c r="I158" s="1">
        <v>1442.86</v>
      </c>
      <c r="J158" s="1">
        <v>1615.88</v>
      </c>
      <c r="K158" s="1">
        <v>127206144</v>
      </c>
      <c r="L158" s="1">
        <v>127206144</v>
      </c>
      <c r="M158" s="2">
        <f t="shared" si="20"/>
        <v>1</v>
      </c>
      <c r="N158" s="1">
        <v>127206144</v>
      </c>
      <c r="O158" s="2">
        <f t="shared" si="21"/>
        <v>1</v>
      </c>
      <c r="P158" s="1">
        <v>65767832</v>
      </c>
      <c r="Q158" s="2">
        <f t="shared" si="26"/>
        <v>0.51701773147058</v>
      </c>
      <c r="S158" s="1">
        <f t="shared" si="25"/>
        <v>1.18162024309329</v>
      </c>
      <c r="T158" s="1">
        <f t="shared" si="22"/>
        <v>1.16579817002443</v>
      </c>
      <c r="U158" s="1">
        <f t="shared" si="27"/>
        <v>1.57162699068847</v>
      </c>
      <c r="V158" s="1">
        <f t="shared" si="23"/>
        <v>2.30563602844351</v>
      </c>
      <c r="W158" s="1">
        <f t="shared" si="24"/>
        <v>2.0587605515261</v>
      </c>
    </row>
    <row r="159" spans="1:23">
      <c r="A159" s="1" t="s">
        <v>176</v>
      </c>
      <c r="B159" s="1">
        <v>2164760</v>
      </c>
      <c r="C159" s="1">
        <v>2164760</v>
      </c>
      <c r="D159" s="1">
        <v>127206144</v>
      </c>
      <c r="E159" s="1">
        <v>3330.16</v>
      </c>
      <c r="F159" s="1">
        <v>2821.55</v>
      </c>
      <c r="G159" s="1">
        <v>2873.01</v>
      </c>
      <c r="H159" s="1">
        <v>2576.08</v>
      </c>
      <c r="I159" s="1">
        <v>1542.26</v>
      </c>
      <c r="J159" s="1">
        <v>1613.7</v>
      </c>
      <c r="K159" s="1">
        <v>127206144</v>
      </c>
      <c r="L159" s="1">
        <v>127206144</v>
      </c>
      <c r="M159" s="2">
        <f t="shared" si="20"/>
        <v>1</v>
      </c>
      <c r="N159" s="1">
        <v>127206144</v>
      </c>
      <c r="O159" s="2">
        <f t="shared" si="21"/>
        <v>1</v>
      </c>
      <c r="P159" s="1">
        <v>65767832</v>
      </c>
      <c r="Q159" s="2">
        <f t="shared" si="26"/>
        <v>0.51701773147058</v>
      </c>
      <c r="S159" s="1">
        <f t="shared" si="25"/>
        <v>1.18025907745743</v>
      </c>
      <c r="T159" s="1">
        <f t="shared" si="22"/>
        <v>1.15911883355784</v>
      </c>
      <c r="U159" s="1">
        <f t="shared" si="27"/>
        <v>1.29272382845253</v>
      </c>
      <c r="V159" s="1">
        <f t="shared" si="23"/>
        <v>2.15927275556651</v>
      </c>
      <c r="W159" s="1">
        <f t="shared" si="24"/>
        <v>2.06367974220735</v>
      </c>
    </row>
    <row r="160" spans="1:23">
      <c r="A160" s="1" t="s">
        <v>177</v>
      </c>
      <c r="B160" s="1">
        <v>11083</v>
      </c>
      <c r="C160" s="1">
        <v>11083</v>
      </c>
      <c r="D160" s="1">
        <v>113343</v>
      </c>
      <c r="E160" s="1">
        <v>2.052</v>
      </c>
      <c r="F160" s="1">
        <v>1.971</v>
      </c>
      <c r="G160" s="1">
        <v>1.803</v>
      </c>
      <c r="H160" s="1">
        <v>2.122</v>
      </c>
      <c r="I160" s="1">
        <v>1.754</v>
      </c>
      <c r="J160" s="1">
        <v>1.846</v>
      </c>
      <c r="K160" s="1">
        <v>113343</v>
      </c>
      <c r="L160" s="1">
        <v>113388</v>
      </c>
      <c r="M160" s="2">
        <f t="shared" si="20"/>
        <v>1.00039702495964</v>
      </c>
      <c r="N160" s="1">
        <v>160404</v>
      </c>
      <c r="O160" s="2">
        <f t="shared" si="21"/>
        <v>1.41520870278712</v>
      </c>
      <c r="P160" s="1">
        <v>80706</v>
      </c>
      <c r="Q160" s="2">
        <f t="shared" si="26"/>
        <v>0.712051030941478</v>
      </c>
      <c r="S160" s="1">
        <f t="shared" si="25"/>
        <v>1.04109589041096</v>
      </c>
      <c r="T160" s="1">
        <f t="shared" si="22"/>
        <v>1.13810316139767</v>
      </c>
      <c r="U160" s="1">
        <f t="shared" si="27"/>
        <v>0.967012252591894</v>
      </c>
      <c r="V160" s="1">
        <f t="shared" si="23"/>
        <v>1.16989737742303</v>
      </c>
      <c r="W160" s="1">
        <f t="shared" si="24"/>
        <v>1.11159263271939</v>
      </c>
    </row>
    <row r="161" spans="1:23">
      <c r="A161" s="1" t="s">
        <v>178</v>
      </c>
      <c r="B161" s="1">
        <v>226451</v>
      </c>
      <c r="C161" s="1">
        <v>226451</v>
      </c>
      <c r="D161" s="1">
        <v>2472071</v>
      </c>
      <c r="E161" s="1">
        <v>60.507</v>
      </c>
      <c r="F161" s="1">
        <v>60.352</v>
      </c>
      <c r="G161" s="1">
        <v>59.379</v>
      </c>
      <c r="H161" s="1">
        <v>69.256</v>
      </c>
      <c r="I161" s="1">
        <v>45.334</v>
      </c>
      <c r="J161" s="1">
        <v>47.256</v>
      </c>
      <c r="K161" s="1">
        <v>2472071</v>
      </c>
      <c r="L161" s="1">
        <v>2472474</v>
      </c>
      <c r="M161" s="2">
        <f t="shared" si="20"/>
        <v>1.00016302120772</v>
      </c>
      <c r="N161" s="1">
        <v>3544436</v>
      </c>
      <c r="O161" s="2">
        <f t="shared" si="21"/>
        <v>1.43379215240986</v>
      </c>
      <c r="P161" s="1">
        <v>1796464</v>
      </c>
      <c r="Q161" s="2">
        <f t="shared" si="26"/>
        <v>0.726704046930691</v>
      </c>
      <c r="S161" s="1">
        <f t="shared" si="25"/>
        <v>1.00256826617179</v>
      </c>
      <c r="T161" s="1">
        <f t="shared" si="22"/>
        <v>1.01899661496489</v>
      </c>
      <c r="U161" s="1">
        <f t="shared" si="27"/>
        <v>0.873671595240845</v>
      </c>
      <c r="V161" s="1">
        <f t="shared" si="23"/>
        <v>1.33469360744695</v>
      </c>
      <c r="W161" s="1">
        <f t="shared" si="24"/>
        <v>1.28040883697308</v>
      </c>
    </row>
    <row r="162" spans="1:23">
      <c r="A162" s="1" t="s">
        <v>179</v>
      </c>
      <c r="B162" s="1">
        <v>806529</v>
      </c>
      <c r="C162" s="1">
        <v>806529</v>
      </c>
      <c r="D162" s="1">
        <v>8921789</v>
      </c>
      <c r="E162" s="1">
        <v>231.101</v>
      </c>
      <c r="F162" s="1">
        <v>228.582</v>
      </c>
      <c r="G162" s="1">
        <v>241.345</v>
      </c>
      <c r="H162" s="1">
        <v>267.199</v>
      </c>
      <c r="I162" s="1">
        <v>176.807</v>
      </c>
      <c r="J162" s="1">
        <v>169.31</v>
      </c>
      <c r="K162" s="1">
        <v>8921789</v>
      </c>
      <c r="L162" s="1">
        <v>8923430</v>
      </c>
      <c r="M162" s="2">
        <f t="shared" si="20"/>
        <v>1.00018393172042</v>
      </c>
      <c r="N162" s="1">
        <v>12828592</v>
      </c>
      <c r="O162" s="2">
        <f t="shared" si="21"/>
        <v>1.43789457473159</v>
      </c>
      <c r="P162" s="1">
        <v>6513436</v>
      </c>
      <c r="Q162" s="2">
        <f t="shared" si="26"/>
        <v>0.730059408488589</v>
      </c>
      <c r="S162" s="1">
        <f t="shared" si="25"/>
        <v>1.01102011531967</v>
      </c>
      <c r="T162" s="1">
        <f t="shared" si="22"/>
        <v>0.957554538109346</v>
      </c>
      <c r="U162" s="1">
        <f t="shared" si="27"/>
        <v>0.864902189005198</v>
      </c>
      <c r="V162" s="1">
        <f t="shared" si="23"/>
        <v>1.30708060201236</v>
      </c>
      <c r="W162" s="1">
        <f t="shared" si="24"/>
        <v>1.36495776977143</v>
      </c>
    </row>
    <row r="163" spans="1:23">
      <c r="A163" s="1" t="s">
        <v>180</v>
      </c>
      <c r="B163" s="1">
        <v>1219574</v>
      </c>
      <c r="C163" s="1">
        <v>1219574</v>
      </c>
      <c r="D163" s="1">
        <v>13544618</v>
      </c>
      <c r="E163" s="1">
        <v>349.9</v>
      </c>
      <c r="F163" s="1">
        <v>346.17</v>
      </c>
      <c r="G163" s="1">
        <v>367.23</v>
      </c>
      <c r="H163" s="1">
        <v>414.693</v>
      </c>
      <c r="I163" s="1">
        <v>299.29</v>
      </c>
      <c r="J163" s="1">
        <v>263.652</v>
      </c>
      <c r="K163" s="1">
        <v>13544618</v>
      </c>
      <c r="L163" s="1">
        <v>13547092</v>
      </c>
      <c r="M163" s="2">
        <f t="shared" si="20"/>
        <v>1.00018265557582</v>
      </c>
      <c r="N163" s="1">
        <v>19493080</v>
      </c>
      <c r="O163" s="2">
        <f t="shared" si="21"/>
        <v>1.4391753241029</v>
      </c>
      <c r="P163" s="1">
        <v>9904388</v>
      </c>
      <c r="Q163" s="2">
        <f t="shared" si="26"/>
        <v>0.731241589832951</v>
      </c>
      <c r="S163" s="1">
        <f t="shared" si="25"/>
        <v>1.01077505271976</v>
      </c>
      <c r="T163" s="1">
        <f t="shared" si="22"/>
        <v>0.952808866378019</v>
      </c>
      <c r="U163" s="1">
        <f t="shared" si="27"/>
        <v>0.843756706768622</v>
      </c>
      <c r="V163" s="1">
        <f t="shared" si="23"/>
        <v>1.1691002038157</v>
      </c>
      <c r="W163" s="1">
        <f t="shared" si="24"/>
        <v>1.32712818412149</v>
      </c>
    </row>
    <row r="164" spans="1:23">
      <c r="A164" s="1" t="s">
        <v>181</v>
      </c>
      <c r="B164" s="1">
        <v>2380515</v>
      </c>
      <c r="C164" s="1">
        <v>2380515</v>
      </c>
      <c r="D164" s="1">
        <v>26515867</v>
      </c>
      <c r="E164" s="1">
        <v>691.465</v>
      </c>
      <c r="F164" s="1">
        <v>680.536</v>
      </c>
      <c r="G164" s="1">
        <v>734.767</v>
      </c>
      <c r="H164" s="1">
        <v>801.39</v>
      </c>
      <c r="I164" s="1">
        <v>556.56</v>
      </c>
      <c r="J164" s="1">
        <v>533.458</v>
      </c>
      <c r="K164" s="1">
        <v>26515867</v>
      </c>
      <c r="L164" s="1">
        <v>26521078</v>
      </c>
      <c r="M164" s="2">
        <f t="shared" si="20"/>
        <v>1.00019652383986</v>
      </c>
      <c r="N164" s="1">
        <v>38177186</v>
      </c>
      <c r="O164" s="2">
        <f t="shared" si="21"/>
        <v>1.43978644937388</v>
      </c>
      <c r="P164" s="1">
        <v>19403364</v>
      </c>
      <c r="Q164" s="2">
        <f t="shared" si="26"/>
        <v>0.731764267787284</v>
      </c>
      <c r="S164" s="1">
        <f t="shared" si="25"/>
        <v>1.01605940023746</v>
      </c>
      <c r="T164" s="1">
        <f t="shared" si="22"/>
        <v>0.941067032133996</v>
      </c>
      <c r="U164" s="1">
        <f t="shared" si="27"/>
        <v>0.862832079262282</v>
      </c>
      <c r="V164" s="1">
        <f t="shared" si="23"/>
        <v>1.24239075751042</v>
      </c>
      <c r="W164" s="1">
        <f t="shared" si="24"/>
        <v>1.29619388967829</v>
      </c>
    </row>
    <row r="165" spans="1:23">
      <c r="A165" s="1" t="s">
        <v>182</v>
      </c>
      <c r="B165" s="1">
        <v>50000</v>
      </c>
      <c r="C165" s="1">
        <v>50000</v>
      </c>
      <c r="D165" s="1">
        <v>349968</v>
      </c>
      <c r="E165" s="1">
        <v>8.025</v>
      </c>
      <c r="F165" s="1">
        <v>10.297</v>
      </c>
      <c r="G165" s="1">
        <v>8.029</v>
      </c>
      <c r="H165" s="1">
        <v>12.819</v>
      </c>
      <c r="I165" s="1">
        <v>11.494</v>
      </c>
      <c r="J165" s="1">
        <v>9.13</v>
      </c>
      <c r="K165" s="1">
        <v>349968</v>
      </c>
      <c r="L165" s="1">
        <v>350000</v>
      </c>
      <c r="M165" s="2">
        <f t="shared" si="20"/>
        <v>1.00009143693138</v>
      </c>
      <c r="N165" s="1">
        <v>699900</v>
      </c>
      <c r="O165" s="2">
        <f t="shared" si="21"/>
        <v>1.9998971334522</v>
      </c>
      <c r="P165" s="1">
        <v>349942</v>
      </c>
      <c r="Q165" s="2">
        <f t="shared" si="26"/>
        <v>0.999925707493256</v>
      </c>
      <c r="S165" s="1">
        <f t="shared" si="25"/>
        <v>0.77935320967272</v>
      </c>
      <c r="T165" s="1">
        <f t="shared" si="22"/>
        <v>0.999501805953419</v>
      </c>
      <c r="U165" s="1">
        <f t="shared" si="27"/>
        <v>0.626023870816756</v>
      </c>
      <c r="V165" s="1">
        <f t="shared" si="23"/>
        <v>0.698190360187924</v>
      </c>
      <c r="W165" s="1">
        <f t="shared" si="24"/>
        <v>0.878970427163198</v>
      </c>
    </row>
    <row r="166" spans="1:23">
      <c r="A166" s="1" t="s">
        <v>183</v>
      </c>
      <c r="B166" s="1">
        <v>17500</v>
      </c>
      <c r="C166" s="1">
        <v>17500</v>
      </c>
      <c r="D166" s="1">
        <v>122462</v>
      </c>
      <c r="E166" s="1">
        <v>2.33</v>
      </c>
      <c r="F166" s="1">
        <v>3.222</v>
      </c>
      <c r="G166" s="1">
        <v>2.157</v>
      </c>
      <c r="H166" s="1">
        <v>3.444</v>
      </c>
      <c r="I166" s="1">
        <v>2.921</v>
      </c>
      <c r="J166" s="1">
        <v>2.318</v>
      </c>
      <c r="K166" s="1">
        <v>122462</v>
      </c>
      <c r="L166" s="1">
        <v>122602</v>
      </c>
      <c r="M166" s="2">
        <f t="shared" si="20"/>
        <v>1.00114321177181</v>
      </c>
      <c r="N166" s="1">
        <v>244876</v>
      </c>
      <c r="O166" s="2">
        <f t="shared" si="21"/>
        <v>1.99960804167823</v>
      </c>
      <c r="P166" s="1">
        <v>114930</v>
      </c>
      <c r="Q166" s="2">
        <f t="shared" si="26"/>
        <v>0.938495206676357</v>
      </c>
      <c r="S166" s="1">
        <f t="shared" si="25"/>
        <v>0.723153320918684</v>
      </c>
      <c r="T166" s="1">
        <f t="shared" si="22"/>
        <v>1.08020398701901</v>
      </c>
      <c r="U166" s="1">
        <f t="shared" si="27"/>
        <v>0.676538908246225</v>
      </c>
      <c r="V166" s="1">
        <f t="shared" si="23"/>
        <v>0.797672030126669</v>
      </c>
      <c r="W166" s="1">
        <f t="shared" si="24"/>
        <v>1.00517687661777</v>
      </c>
    </row>
    <row r="167" spans="1:23">
      <c r="A167" s="1" t="s">
        <v>184</v>
      </c>
      <c r="B167" s="1">
        <v>389874</v>
      </c>
      <c r="C167" s="1">
        <v>389874</v>
      </c>
      <c r="D167" s="1">
        <v>2101242</v>
      </c>
      <c r="E167" s="1">
        <v>82.049</v>
      </c>
      <c r="F167" s="1">
        <v>91.534</v>
      </c>
      <c r="G167" s="1">
        <v>86.027</v>
      </c>
      <c r="H167" s="1">
        <v>112.618</v>
      </c>
      <c r="I167" s="1">
        <v>93.019</v>
      </c>
      <c r="J167" s="1">
        <v>77.79</v>
      </c>
      <c r="K167" s="1">
        <v>2101242</v>
      </c>
      <c r="L167" s="1">
        <v>2101244</v>
      </c>
      <c r="M167" s="2">
        <f t="shared" si="20"/>
        <v>1.00000095181802</v>
      </c>
      <c r="N167" s="1">
        <v>3488170</v>
      </c>
      <c r="O167" s="2">
        <f t="shared" si="21"/>
        <v>1.6600515314276</v>
      </c>
      <c r="P167" s="1">
        <v>1834902</v>
      </c>
      <c r="Q167" s="2">
        <f t="shared" si="26"/>
        <v>0.873246394275386</v>
      </c>
      <c r="S167" s="1">
        <f t="shared" si="25"/>
        <v>0.896377302423143</v>
      </c>
      <c r="T167" s="1">
        <f t="shared" si="22"/>
        <v>0.953758703662804</v>
      </c>
      <c r="U167" s="1">
        <f t="shared" si="27"/>
        <v>0.72856026567689</v>
      </c>
      <c r="V167" s="1">
        <f t="shared" si="23"/>
        <v>0.882067104570034</v>
      </c>
      <c r="W167" s="1">
        <f t="shared" si="24"/>
        <v>1.05474996786219</v>
      </c>
    </row>
    <row r="168" spans="1:23">
      <c r="A168" s="1" t="s">
        <v>185</v>
      </c>
      <c r="B168" s="1">
        <v>51537</v>
      </c>
      <c r="C168" s="1">
        <v>51537</v>
      </c>
      <c r="D168" s="1">
        <v>1010777</v>
      </c>
      <c r="E168" s="1">
        <v>19.052</v>
      </c>
      <c r="F168" s="1">
        <v>17.612</v>
      </c>
      <c r="G168" s="1">
        <v>17.391</v>
      </c>
      <c r="H168" s="1">
        <v>18.38</v>
      </c>
      <c r="I168" s="1">
        <v>15.132</v>
      </c>
      <c r="J168" s="1">
        <v>14.122</v>
      </c>
      <c r="K168" s="1">
        <v>1010777</v>
      </c>
      <c r="L168" s="1">
        <v>1011692</v>
      </c>
      <c r="M168" s="2">
        <f t="shared" si="20"/>
        <v>1.00090524418344</v>
      </c>
      <c r="N168" s="1">
        <v>1326578</v>
      </c>
      <c r="O168" s="2">
        <f t="shared" si="21"/>
        <v>1.3124338998612</v>
      </c>
      <c r="P168" s="1">
        <v>637994</v>
      </c>
      <c r="Q168" s="2">
        <f t="shared" si="26"/>
        <v>0.631191647613668</v>
      </c>
      <c r="S168" s="1">
        <f t="shared" si="25"/>
        <v>1.08176243470361</v>
      </c>
      <c r="T168" s="1">
        <f t="shared" si="22"/>
        <v>1.0955091714105</v>
      </c>
      <c r="U168" s="1">
        <f t="shared" si="27"/>
        <v>1.03656147986942</v>
      </c>
      <c r="V168" s="1">
        <f t="shared" si="23"/>
        <v>1.25905366111552</v>
      </c>
      <c r="W168" s="1">
        <f t="shared" si="24"/>
        <v>1.3491006939527</v>
      </c>
    </row>
    <row r="169" spans="1:23">
      <c r="A169" s="1" t="s">
        <v>186</v>
      </c>
      <c r="B169" s="1">
        <v>89400</v>
      </c>
      <c r="C169" s="1">
        <v>89400</v>
      </c>
      <c r="D169" s="1">
        <v>1156224</v>
      </c>
      <c r="E169" s="1">
        <v>22.854</v>
      </c>
      <c r="F169" s="1">
        <v>22.496</v>
      </c>
      <c r="G169" s="1">
        <v>21.573</v>
      </c>
      <c r="H169" s="1">
        <v>25.027</v>
      </c>
      <c r="I169" s="1">
        <v>17.612</v>
      </c>
      <c r="J169" s="1">
        <v>18.965</v>
      </c>
      <c r="K169" s="1">
        <v>1156224</v>
      </c>
      <c r="L169" s="1">
        <v>1156240</v>
      </c>
      <c r="M169" s="2">
        <f t="shared" si="20"/>
        <v>1.00001383814901</v>
      </c>
      <c r="N169" s="1">
        <v>1599640</v>
      </c>
      <c r="O169" s="2">
        <f t="shared" si="21"/>
        <v>1.38350354256615</v>
      </c>
      <c r="P169" s="1">
        <v>623710</v>
      </c>
      <c r="Q169" s="2">
        <f t="shared" si="26"/>
        <v>0.539436994907561</v>
      </c>
      <c r="S169" s="1">
        <f t="shared" si="25"/>
        <v>1.01591394025605</v>
      </c>
      <c r="T169" s="1">
        <f t="shared" si="22"/>
        <v>1.05937978028091</v>
      </c>
      <c r="U169" s="1">
        <f t="shared" si="27"/>
        <v>0.913173772325888</v>
      </c>
      <c r="V169" s="1">
        <f t="shared" si="23"/>
        <v>1.29763797410856</v>
      </c>
      <c r="W169" s="1">
        <f t="shared" si="24"/>
        <v>1.20506195623517</v>
      </c>
    </row>
    <row r="170" spans="1:23">
      <c r="A170" s="1" t="s">
        <v>187</v>
      </c>
      <c r="B170" s="1">
        <v>1157456</v>
      </c>
      <c r="C170" s="1">
        <v>1157456</v>
      </c>
      <c r="D170" s="1">
        <v>48538952</v>
      </c>
      <c r="E170" s="1">
        <v>1293.58</v>
      </c>
      <c r="F170" s="1">
        <v>1137.07</v>
      </c>
      <c r="G170" s="1">
        <v>1152.7</v>
      </c>
      <c r="H170" s="1">
        <v>1300.32</v>
      </c>
      <c r="I170" s="1">
        <v>1064.26</v>
      </c>
      <c r="J170" s="1">
        <v>733.599</v>
      </c>
      <c r="K170" s="1">
        <v>48538952</v>
      </c>
      <c r="L170" s="1">
        <v>48605536</v>
      </c>
      <c r="M170" s="2">
        <f t="shared" si="20"/>
        <v>1.00137176426883</v>
      </c>
      <c r="N170" s="1">
        <v>70173732</v>
      </c>
      <c r="O170" s="2">
        <f t="shared" si="21"/>
        <v>1.44571996527655</v>
      </c>
      <c r="P170" s="1">
        <v>31619966</v>
      </c>
      <c r="Q170" s="2">
        <f t="shared" si="26"/>
        <v>0.651434872347471</v>
      </c>
      <c r="S170" s="1">
        <f t="shared" si="25"/>
        <v>1.13764324096142</v>
      </c>
      <c r="T170" s="1">
        <f t="shared" si="22"/>
        <v>1.12221740261994</v>
      </c>
      <c r="U170" s="1">
        <f t="shared" si="27"/>
        <v>0.994816660514335</v>
      </c>
      <c r="V170" s="1">
        <f t="shared" si="23"/>
        <v>1.2154736624509</v>
      </c>
      <c r="W170" s="1">
        <f t="shared" si="24"/>
        <v>1.76333391948462</v>
      </c>
    </row>
    <row r="171" spans="1:23">
      <c r="A171" s="1" t="s">
        <v>188</v>
      </c>
      <c r="B171" s="1">
        <v>1102824</v>
      </c>
      <c r="C171" s="1">
        <v>1102824</v>
      </c>
      <c r="D171" s="1">
        <v>89306020</v>
      </c>
      <c r="E171" s="1">
        <v>2414.28</v>
      </c>
      <c r="F171" s="1">
        <v>2088.55</v>
      </c>
      <c r="G171" s="1">
        <v>2079.73</v>
      </c>
      <c r="H171" s="1">
        <v>2273.75</v>
      </c>
      <c r="I171" s="1">
        <v>1806.25</v>
      </c>
      <c r="J171" s="1">
        <v>1314.76</v>
      </c>
      <c r="K171" s="1">
        <v>89306020</v>
      </c>
      <c r="L171" s="1">
        <v>89491654</v>
      </c>
      <c r="M171" s="2">
        <f t="shared" si="20"/>
        <v>1.00207862807009</v>
      </c>
      <c r="N171" s="1">
        <v>126074558</v>
      </c>
      <c r="O171" s="2">
        <f t="shared" si="21"/>
        <v>1.41171399195709</v>
      </c>
      <c r="P171" s="1">
        <v>55429290</v>
      </c>
      <c r="Q171" s="2">
        <f t="shared" si="26"/>
        <v>0.620666893452423</v>
      </c>
      <c r="S171" s="1">
        <f t="shared" si="25"/>
        <v>1.15595987646932</v>
      </c>
      <c r="T171" s="1">
        <f t="shared" si="22"/>
        <v>1.16086222730835</v>
      </c>
      <c r="U171" s="1">
        <f t="shared" si="27"/>
        <v>1.06180538757559</v>
      </c>
      <c r="V171" s="1">
        <f t="shared" si="23"/>
        <v>1.33662560553633</v>
      </c>
      <c r="W171" s="1">
        <f t="shared" si="24"/>
        <v>1.8362895129149</v>
      </c>
    </row>
    <row r="172" spans="1:23">
      <c r="A172" s="1" t="s">
        <v>189</v>
      </c>
      <c r="B172" s="1">
        <v>60000</v>
      </c>
      <c r="C172" s="1">
        <v>60000</v>
      </c>
      <c r="D172" s="1">
        <v>299998</v>
      </c>
      <c r="E172" s="1">
        <v>7.311</v>
      </c>
      <c r="F172" s="1">
        <v>13.348</v>
      </c>
      <c r="G172" s="1">
        <v>7.036</v>
      </c>
      <c r="H172" s="1">
        <v>8.674</v>
      </c>
      <c r="I172" s="1">
        <v>6.454</v>
      </c>
      <c r="J172" s="1">
        <v>6.878</v>
      </c>
      <c r="K172" s="1">
        <v>299998</v>
      </c>
      <c r="L172" s="1">
        <v>300000</v>
      </c>
      <c r="M172" s="2">
        <f t="shared" si="20"/>
        <v>1.00000666671111</v>
      </c>
      <c r="N172" s="1">
        <v>479996</v>
      </c>
      <c r="O172" s="2">
        <f t="shared" si="21"/>
        <v>1.59999733331556</v>
      </c>
      <c r="P172" s="1">
        <v>180000</v>
      </c>
      <c r="Q172" s="2">
        <f t="shared" si="26"/>
        <v>0.600004000026667</v>
      </c>
      <c r="S172" s="1">
        <f t="shared" si="25"/>
        <v>0.547722505244231</v>
      </c>
      <c r="T172" s="1">
        <f t="shared" si="22"/>
        <v>1.03908470722001</v>
      </c>
      <c r="U172" s="1">
        <f t="shared" si="27"/>
        <v>0.842863730689417</v>
      </c>
      <c r="V172" s="1">
        <f t="shared" si="23"/>
        <v>1.13278586922839</v>
      </c>
      <c r="W172" s="1">
        <f t="shared" si="24"/>
        <v>1.06295434719395</v>
      </c>
    </row>
    <row r="173" spans="1:23">
      <c r="A173" s="1" t="s">
        <v>190</v>
      </c>
      <c r="B173" s="1">
        <v>182730</v>
      </c>
      <c r="C173" s="1">
        <v>182730</v>
      </c>
      <c r="D173" s="1">
        <v>1641672</v>
      </c>
      <c r="E173" s="1">
        <v>37.316</v>
      </c>
      <c r="F173" s="1">
        <v>39.805</v>
      </c>
      <c r="G173" s="1">
        <v>35.787</v>
      </c>
      <c r="H173" s="1">
        <v>43.589</v>
      </c>
      <c r="I173" s="1">
        <v>34.321</v>
      </c>
      <c r="J173" s="1">
        <v>33.482</v>
      </c>
      <c r="K173" s="1">
        <v>1641672</v>
      </c>
      <c r="L173" s="1">
        <v>1642090</v>
      </c>
      <c r="M173" s="2">
        <f t="shared" si="20"/>
        <v>1.00025461846215</v>
      </c>
      <c r="N173" s="1">
        <v>2529750</v>
      </c>
      <c r="O173" s="2">
        <f t="shared" si="21"/>
        <v>1.54095946084236</v>
      </c>
      <c r="P173" s="1">
        <v>1264354</v>
      </c>
      <c r="Q173" s="2">
        <f t="shared" si="26"/>
        <v>0.770162371046104</v>
      </c>
      <c r="S173" s="1">
        <f t="shared" si="25"/>
        <v>0.937470167064439</v>
      </c>
      <c r="T173" s="1">
        <f t="shared" si="22"/>
        <v>1.04272501187582</v>
      </c>
      <c r="U173" s="1">
        <f t="shared" si="27"/>
        <v>0.856087545022827</v>
      </c>
      <c r="V173" s="1">
        <f t="shared" si="23"/>
        <v>1.08726435709915</v>
      </c>
      <c r="W173" s="1">
        <f t="shared" si="24"/>
        <v>1.11450928857296</v>
      </c>
    </row>
    <row r="174" spans="1:23">
      <c r="A174" s="1" t="s">
        <v>191</v>
      </c>
      <c r="B174" s="1">
        <v>24993</v>
      </c>
      <c r="C174" s="1">
        <v>24993</v>
      </c>
      <c r="D174" s="1">
        <v>69972</v>
      </c>
      <c r="E174" s="1">
        <v>1.586</v>
      </c>
      <c r="F174" s="1">
        <v>2.374</v>
      </c>
      <c r="G174" s="1">
        <v>1.471</v>
      </c>
      <c r="H174" s="1">
        <v>3.161</v>
      </c>
      <c r="I174" s="1">
        <v>1.782</v>
      </c>
      <c r="J174" s="1">
        <v>1.316</v>
      </c>
      <c r="K174" s="1">
        <v>69972</v>
      </c>
      <c r="L174" s="1">
        <v>69972</v>
      </c>
      <c r="M174" s="2">
        <f t="shared" si="20"/>
        <v>1</v>
      </c>
      <c r="N174" s="1">
        <v>99964</v>
      </c>
      <c r="O174" s="2">
        <f t="shared" si="21"/>
        <v>1.42862859429486</v>
      </c>
      <c r="P174" s="1">
        <v>64978</v>
      </c>
      <c r="Q174" s="2">
        <f t="shared" si="26"/>
        <v>0.928628594294861</v>
      </c>
      <c r="S174" s="1">
        <f t="shared" si="25"/>
        <v>0.668070766638585</v>
      </c>
      <c r="T174" s="1">
        <f t="shared" si="22"/>
        <v>1.07817811012916</v>
      </c>
      <c r="U174" s="1">
        <f t="shared" si="27"/>
        <v>0.501739955710218</v>
      </c>
      <c r="V174" s="1">
        <f t="shared" si="23"/>
        <v>0.890011223344557</v>
      </c>
      <c r="W174" s="1">
        <f t="shared" si="24"/>
        <v>1.20516717325228</v>
      </c>
    </row>
    <row r="175" spans="1:23">
      <c r="A175" s="1" t="s">
        <v>192</v>
      </c>
      <c r="B175" s="1">
        <v>16129</v>
      </c>
      <c r="C175" s="1">
        <v>16129</v>
      </c>
      <c r="D175" s="1">
        <v>253009</v>
      </c>
      <c r="E175" s="1">
        <v>4.468</v>
      </c>
      <c r="F175" s="1">
        <v>4.267</v>
      </c>
      <c r="G175" s="1">
        <v>3.982</v>
      </c>
      <c r="H175" s="1">
        <v>5.392</v>
      </c>
      <c r="I175" s="1">
        <v>4.001</v>
      </c>
      <c r="J175" s="1">
        <v>4.116</v>
      </c>
      <c r="K175" s="1">
        <v>253009</v>
      </c>
      <c r="L175" s="1">
        <v>253056</v>
      </c>
      <c r="M175" s="2">
        <f t="shared" si="20"/>
        <v>1.00018576414278</v>
      </c>
      <c r="N175" s="1">
        <v>394614</v>
      </c>
      <c r="O175" s="2">
        <f t="shared" si="21"/>
        <v>1.55968364761728</v>
      </c>
      <c r="P175" s="1">
        <v>178998</v>
      </c>
      <c r="Q175" s="2">
        <f t="shared" si="26"/>
        <v>0.707476809125367</v>
      </c>
      <c r="S175" s="1">
        <f t="shared" si="25"/>
        <v>1.04710569486759</v>
      </c>
      <c r="T175" s="1">
        <f t="shared" si="22"/>
        <v>1.12204922149674</v>
      </c>
      <c r="U175" s="1">
        <f t="shared" si="27"/>
        <v>0.828635014836795</v>
      </c>
      <c r="V175" s="1">
        <f t="shared" si="23"/>
        <v>1.11672081979505</v>
      </c>
      <c r="W175" s="1">
        <f t="shared" si="24"/>
        <v>1.08551992225462</v>
      </c>
    </row>
    <row r="176" spans="1:23">
      <c r="A176" s="1" t="s">
        <v>193</v>
      </c>
      <c r="B176" s="1">
        <v>65025</v>
      </c>
      <c r="C176" s="1">
        <v>65025</v>
      </c>
      <c r="D176" s="1">
        <v>1030225</v>
      </c>
      <c r="E176" s="1">
        <v>22.002</v>
      </c>
      <c r="F176" s="1">
        <v>21.921</v>
      </c>
      <c r="G176" s="1">
        <v>21.51</v>
      </c>
      <c r="H176" s="1">
        <v>26.176</v>
      </c>
      <c r="I176" s="1">
        <v>21.005</v>
      </c>
      <c r="J176" s="1">
        <v>18.955</v>
      </c>
      <c r="K176" s="1">
        <v>1030225</v>
      </c>
      <c r="L176" s="1">
        <v>1030316</v>
      </c>
      <c r="M176" s="2">
        <f t="shared" si="20"/>
        <v>1.00008833021913</v>
      </c>
      <c r="N176" s="1">
        <v>1612010</v>
      </c>
      <c r="O176" s="2">
        <f t="shared" si="21"/>
        <v>1.56471644543668</v>
      </c>
      <c r="P176" s="1">
        <v>730168</v>
      </c>
      <c r="Q176" s="2">
        <f t="shared" si="26"/>
        <v>0.708746147686185</v>
      </c>
      <c r="S176" s="1">
        <f t="shared" si="25"/>
        <v>1.00369508690297</v>
      </c>
      <c r="T176" s="1">
        <f t="shared" si="22"/>
        <v>1.02287308228731</v>
      </c>
      <c r="U176" s="1">
        <f t="shared" si="27"/>
        <v>0.840540953545232</v>
      </c>
      <c r="V176" s="1">
        <f t="shared" si="23"/>
        <v>1.04746488931207</v>
      </c>
      <c r="W176" s="1">
        <f t="shared" si="24"/>
        <v>1.16074914270641</v>
      </c>
    </row>
    <row r="177" spans="1:23">
      <c r="A177" s="1" t="s">
        <v>194</v>
      </c>
      <c r="B177" s="1">
        <v>146689</v>
      </c>
      <c r="C177" s="1">
        <v>146689</v>
      </c>
      <c r="D177" s="1">
        <v>3636649</v>
      </c>
      <c r="E177" s="1">
        <v>95.894</v>
      </c>
      <c r="F177" s="1">
        <v>92.532</v>
      </c>
      <c r="G177" s="1">
        <v>92.24</v>
      </c>
      <c r="H177" s="1">
        <v>83.203</v>
      </c>
      <c r="I177" s="1">
        <v>57.61</v>
      </c>
      <c r="J177" s="1">
        <v>61.07</v>
      </c>
      <c r="K177" s="1">
        <v>3636649</v>
      </c>
      <c r="L177" s="1">
        <v>3636880</v>
      </c>
      <c r="M177" s="2">
        <f t="shared" si="20"/>
        <v>1.00006352001527</v>
      </c>
      <c r="N177" s="1">
        <v>4270138</v>
      </c>
      <c r="O177" s="2">
        <f t="shared" si="21"/>
        <v>1.1741958049842</v>
      </c>
      <c r="P177" s="1">
        <v>1993054</v>
      </c>
      <c r="Q177" s="2">
        <f t="shared" si="26"/>
        <v>0.548046842024072</v>
      </c>
      <c r="S177" s="1">
        <f t="shared" si="25"/>
        <v>1.03633337656162</v>
      </c>
      <c r="T177" s="1">
        <f t="shared" si="22"/>
        <v>1.03961405030356</v>
      </c>
      <c r="U177" s="1">
        <f t="shared" si="27"/>
        <v>1.15253055779239</v>
      </c>
      <c r="V177" s="1">
        <f t="shared" si="23"/>
        <v>1.66453740670023</v>
      </c>
      <c r="W177" s="1">
        <f t="shared" si="24"/>
        <v>1.57023088259374</v>
      </c>
    </row>
    <row r="178" spans="1:23">
      <c r="A178" s="1" t="s">
        <v>195</v>
      </c>
      <c r="B178" s="1">
        <v>3191</v>
      </c>
      <c r="C178" s="1">
        <v>3191</v>
      </c>
      <c r="D178" s="1">
        <v>36516</v>
      </c>
      <c r="E178" s="1">
        <v>0.642</v>
      </c>
      <c r="F178" s="1">
        <v>0.616</v>
      </c>
      <c r="G178" s="1">
        <v>0.514</v>
      </c>
      <c r="H178" s="1">
        <v>0.64</v>
      </c>
      <c r="I178" s="1">
        <v>0.42</v>
      </c>
      <c r="J178" s="1">
        <v>0.581</v>
      </c>
      <c r="K178" s="1">
        <v>36516</v>
      </c>
      <c r="L178" s="1">
        <v>36952</v>
      </c>
      <c r="M178" s="2">
        <f t="shared" si="20"/>
        <v>1.01193997151933</v>
      </c>
      <c r="N178" s="1">
        <v>49120</v>
      </c>
      <c r="O178" s="2">
        <f t="shared" si="21"/>
        <v>1.34516376382955</v>
      </c>
      <c r="P178" s="1">
        <v>20664</v>
      </c>
      <c r="Q178" s="2">
        <f t="shared" si="26"/>
        <v>0.565888925402563</v>
      </c>
      <c r="S178" s="1">
        <f t="shared" si="25"/>
        <v>1.04220779220779</v>
      </c>
      <c r="T178" s="1">
        <f t="shared" si="22"/>
        <v>1.24902723735409</v>
      </c>
      <c r="U178" s="1">
        <f t="shared" si="27"/>
        <v>1.003125</v>
      </c>
      <c r="V178" s="1">
        <f t="shared" si="23"/>
        <v>1.52857142857143</v>
      </c>
      <c r="W178" s="1">
        <f t="shared" si="24"/>
        <v>1.10499139414802</v>
      </c>
    </row>
    <row r="179" spans="1:23">
      <c r="A179" s="1" t="s">
        <v>196</v>
      </c>
      <c r="B179" s="1">
        <v>3271</v>
      </c>
      <c r="C179" s="1">
        <v>3271</v>
      </c>
      <c r="D179" s="1">
        <v>36789</v>
      </c>
      <c r="E179" s="1">
        <v>0.644</v>
      </c>
      <c r="F179" s="1">
        <v>0.61</v>
      </c>
      <c r="G179" s="1">
        <v>0.518</v>
      </c>
      <c r="H179" s="1">
        <v>0.652</v>
      </c>
      <c r="I179" s="1">
        <v>0.439</v>
      </c>
      <c r="J179" s="1">
        <v>0.576</v>
      </c>
      <c r="K179" s="1">
        <v>36789</v>
      </c>
      <c r="L179" s="1">
        <v>37242</v>
      </c>
      <c r="M179" s="2">
        <f t="shared" si="20"/>
        <v>1.01231346326348</v>
      </c>
      <c r="N179" s="1">
        <v>49648</v>
      </c>
      <c r="O179" s="2">
        <f t="shared" si="21"/>
        <v>1.34953382804643</v>
      </c>
      <c r="P179" s="1">
        <v>20900</v>
      </c>
      <c r="Q179" s="2">
        <f t="shared" si="26"/>
        <v>0.568104596482644</v>
      </c>
      <c r="S179" s="1">
        <f t="shared" si="25"/>
        <v>1.05573770491803</v>
      </c>
      <c r="T179" s="1">
        <f t="shared" si="22"/>
        <v>1.24324324324324</v>
      </c>
      <c r="U179" s="1">
        <f t="shared" si="27"/>
        <v>0.987730061349693</v>
      </c>
      <c r="V179" s="1">
        <f t="shared" si="23"/>
        <v>1.46697038724374</v>
      </c>
      <c r="W179" s="1">
        <f t="shared" si="24"/>
        <v>1.11805555555556</v>
      </c>
    </row>
    <row r="180" spans="1:23">
      <c r="A180" s="1" t="s">
        <v>197</v>
      </c>
      <c r="B180" s="1">
        <v>3431</v>
      </c>
      <c r="C180" s="1">
        <v>3431</v>
      </c>
      <c r="D180" s="1">
        <v>36741</v>
      </c>
      <c r="E180" s="1">
        <v>0.65</v>
      </c>
      <c r="F180" s="1">
        <v>0.627</v>
      </c>
      <c r="G180" s="1">
        <v>0.539</v>
      </c>
      <c r="H180" s="1">
        <v>0.666</v>
      </c>
      <c r="I180" s="1">
        <v>0.442</v>
      </c>
      <c r="J180" s="1">
        <v>0.589</v>
      </c>
      <c r="K180" s="1">
        <v>36741</v>
      </c>
      <c r="L180" s="1">
        <v>37222</v>
      </c>
      <c r="M180" s="2">
        <f t="shared" si="20"/>
        <v>1.01309164149043</v>
      </c>
      <c r="N180" s="1">
        <v>50230</v>
      </c>
      <c r="O180" s="2">
        <f t="shared" si="21"/>
        <v>1.36713753027952</v>
      </c>
      <c r="P180" s="1">
        <v>20998</v>
      </c>
      <c r="Q180" s="2">
        <f t="shared" si="26"/>
        <v>0.571514112299611</v>
      </c>
      <c r="S180" s="1">
        <f t="shared" si="25"/>
        <v>1.03668261562998</v>
      </c>
      <c r="T180" s="1">
        <f t="shared" si="22"/>
        <v>1.20593692022263</v>
      </c>
      <c r="U180" s="1">
        <f t="shared" si="27"/>
        <v>0.975975975975976</v>
      </c>
      <c r="V180" s="1">
        <f t="shared" si="23"/>
        <v>1.47058823529412</v>
      </c>
      <c r="W180" s="1">
        <f t="shared" si="24"/>
        <v>1.10356536502547</v>
      </c>
    </row>
    <row r="181" spans="1:23">
      <c r="A181" s="1" t="s">
        <v>198</v>
      </c>
      <c r="B181" s="1">
        <v>3511</v>
      </c>
      <c r="C181" s="1">
        <v>3511</v>
      </c>
      <c r="D181" s="1">
        <v>37680</v>
      </c>
      <c r="E181" s="1">
        <v>0.668</v>
      </c>
      <c r="F181" s="1">
        <v>0.639</v>
      </c>
      <c r="G181" s="1">
        <v>0.546</v>
      </c>
      <c r="H181" s="1">
        <v>0.66</v>
      </c>
      <c r="I181" s="1">
        <v>0.438</v>
      </c>
      <c r="J181" s="1">
        <v>0.596</v>
      </c>
      <c r="K181" s="1">
        <v>37680</v>
      </c>
      <c r="L181" s="1">
        <v>38154</v>
      </c>
      <c r="M181" s="2">
        <f t="shared" si="20"/>
        <v>1.01257961783439</v>
      </c>
      <c r="N181" s="1">
        <v>51508</v>
      </c>
      <c r="O181" s="2">
        <f t="shared" si="21"/>
        <v>1.36698513800425</v>
      </c>
      <c r="P181" s="1">
        <v>21518</v>
      </c>
      <c r="Q181" s="2">
        <f t="shared" si="26"/>
        <v>0.571072186836518</v>
      </c>
      <c r="S181" s="1">
        <f t="shared" si="25"/>
        <v>1.04538341158059</v>
      </c>
      <c r="T181" s="1">
        <f t="shared" si="22"/>
        <v>1.22344322344322</v>
      </c>
      <c r="U181" s="1">
        <f t="shared" si="27"/>
        <v>1.01212121212121</v>
      </c>
      <c r="V181" s="1">
        <f t="shared" si="23"/>
        <v>1.52511415525114</v>
      </c>
      <c r="W181" s="1">
        <f t="shared" si="24"/>
        <v>1.12080536912752</v>
      </c>
    </row>
    <row r="182" spans="1:23">
      <c r="A182" s="1" t="s">
        <v>199</v>
      </c>
      <c r="B182" s="1">
        <v>3543</v>
      </c>
      <c r="C182" s="1">
        <v>3543</v>
      </c>
      <c r="D182" s="1">
        <v>38136</v>
      </c>
      <c r="E182" s="1">
        <v>0.682</v>
      </c>
      <c r="F182" s="1">
        <v>0.655</v>
      </c>
      <c r="G182" s="1">
        <v>0.555</v>
      </c>
      <c r="H182" s="1">
        <v>0.668</v>
      </c>
      <c r="I182" s="1">
        <v>0.46</v>
      </c>
      <c r="J182" s="1">
        <v>0.607</v>
      </c>
      <c r="K182" s="1">
        <v>38136</v>
      </c>
      <c r="L182" s="1">
        <v>38624</v>
      </c>
      <c r="M182" s="2">
        <f t="shared" si="20"/>
        <v>1.01279630795049</v>
      </c>
      <c r="N182" s="1">
        <v>52072</v>
      </c>
      <c r="O182" s="2">
        <f t="shared" si="21"/>
        <v>1.36542899097965</v>
      </c>
      <c r="P182" s="1">
        <v>21784</v>
      </c>
      <c r="Q182" s="2">
        <f t="shared" si="26"/>
        <v>0.571218795888399</v>
      </c>
      <c r="S182" s="1">
        <f t="shared" si="25"/>
        <v>1.0412213740458</v>
      </c>
      <c r="T182" s="1">
        <f t="shared" si="22"/>
        <v>1.22882882882883</v>
      </c>
      <c r="U182" s="1">
        <f t="shared" si="27"/>
        <v>1.02095808383234</v>
      </c>
      <c r="V182" s="1">
        <f t="shared" si="23"/>
        <v>1.48260869565217</v>
      </c>
      <c r="W182" s="1">
        <f t="shared" si="24"/>
        <v>1.12355848434926</v>
      </c>
    </row>
    <row r="183" spans="1:23">
      <c r="A183" s="1" t="s">
        <v>200</v>
      </c>
      <c r="B183" s="1">
        <v>1000000</v>
      </c>
      <c r="C183" s="1">
        <v>1000000</v>
      </c>
      <c r="D183" s="1">
        <v>4996000</v>
      </c>
      <c r="E183" s="1">
        <v>166.25</v>
      </c>
      <c r="F183" s="1">
        <v>253.174</v>
      </c>
      <c r="G183" s="1">
        <v>157.094</v>
      </c>
      <c r="H183" s="1">
        <v>201.47</v>
      </c>
      <c r="I183" s="1">
        <v>176.007</v>
      </c>
      <c r="J183" s="1">
        <v>129.707</v>
      </c>
      <c r="K183" s="1">
        <v>4996000</v>
      </c>
      <c r="L183" s="1">
        <v>4996036</v>
      </c>
      <c r="M183" s="2">
        <f t="shared" si="20"/>
        <v>1.00000720576461</v>
      </c>
      <c r="N183" s="1">
        <v>7992000</v>
      </c>
      <c r="O183" s="2">
        <f t="shared" si="21"/>
        <v>1.59967974379504</v>
      </c>
      <c r="P183" s="1">
        <v>2999000</v>
      </c>
      <c r="Q183" s="2">
        <f t="shared" si="26"/>
        <v>0.600280224179343</v>
      </c>
      <c r="S183" s="1">
        <f t="shared" si="25"/>
        <v>0.656663006469859</v>
      </c>
      <c r="T183" s="1">
        <f t="shared" si="22"/>
        <v>1.05828357543891</v>
      </c>
      <c r="U183" s="1">
        <f t="shared" si="27"/>
        <v>0.825184891050777</v>
      </c>
      <c r="V183" s="1">
        <f t="shared" si="23"/>
        <v>0.944564704812877</v>
      </c>
      <c r="W183" s="1">
        <f t="shared" si="24"/>
        <v>1.28173498731757</v>
      </c>
    </row>
    <row r="184" spans="1:23">
      <c r="A184" s="1" t="s">
        <v>201</v>
      </c>
      <c r="B184" s="1">
        <v>999999</v>
      </c>
      <c r="C184" s="1">
        <v>999999</v>
      </c>
      <c r="D184" s="1">
        <v>4995991</v>
      </c>
      <c r="E184" s="1">
        <v>166.766</v>
      </c>
      <c r="F184" s="1">
        <v>256.24</v>
      </c>
      <c r="G184" s="1">
        <v>160.528</v>
      </c>
      <c r="H184" s="1">
        <v>199.567</v>
      </c>
      <c r="I184" s="1">
        <v>171.188</v>
      </c>
      <c r="J184" s="1">
        <v>129.175</v>
      </c>
      <c r="K184" s="1">
        <v>4995991</v>
      </c>
      <c r="L184" s="1">
        <v>4996008</v>
      </c>
      <c r="M184" s="2">
        <f t="shared" si="20"/>
        <v>1.00000340272831</v>
      </c>
      <c r="N184" s="1">
        <v>7991984</v>
      </c>
      <c r="O184" s="2">
        <f t="shared" si="21"/>
        <v>1.59967942296133</v>
      </c>
      <c r="P184" s="1">
        <v>2998996</v>
      </c>
      <c r="Q184" s="2">
        <f t="shared" si="26"/>
        <v>0.600280504908836</v>
      </c>
      <c r="S184" s="1">
        <f t="shared" si="25"/>
        <v>0.650819544177334</v>
      </c>
      <c r="T184" s="1">
        <f t="shared" si="22"/>
        <v>1.03885926442739</v>
      </c>
      <c r="U184" s="1">
        <f t="shared" si="27"/>
        <v>0.835639158778756</v>
      </c>
      <c r="V184" s="1">
        <f t="shared" si="23"/>
        <v>0.974168750146038</v>
      </c>
      <c r="W184" s="1">
        <f t="shared" si="24"/>
        <v>1.29100832204374</v>
      </c>
    </row>
    <row r="185" spans="1:23">
      <c r="A185" s="1" t="s">
        <v>202</v>
      </c>
      <c r="B185" s="1">
        <v>923136</v>
      </c>
      <c r="C185" s="1">
        <v>923136</v>
      </c>
      <c r="D185" s="1">
        <v>41005206</v>
      </c>
      <c r="E185" s="1">
        <v>1072.15</v>
      </c>
      <c r="F185" s="1">
        <v>920.966</v>
      </c>
      <c r="G185" s="1">
        <v>942.981</v>
      </c>
      <c r="H185" s="1">
        <v>868.033</v>
      </c>
      <c r="I185" s="1">
        <v>665.643</v>
      </c>
      <c r="J185" s="1">
        <v>565.534</v>
      </c>
      <c r="K185" s="1">
        <v>41005206</v>
      </c>
      <c r="L185" s="1">
        <v>41026062</v>
      </c>
      <c r="M185" s="2">
        <f t="shared" si="20"/>
        <v>1.0005086183447</v>
      </c>
      <c r="N185" s="1">
        <v>47705028</v>
      </c>
      <c r="O185" s="2">
        <f t="shared" si="21"/>
        <v>1.16338954619567</v>
      </c>
      <c r="P185" s="1">
        <v>22057152</v>
      </c>
      <c r="Q185" s="2">
        <f t="shared" si="26"/>
        <v>0.537911015493984</v>
      </c>
      <c r="S185" s="1">
        <f t="shared" si="25"/>
        <v>1.16415806881036</v>
      </c>
      <c r="T185" s="1">
        <f t="shared" si="22"/>
        <v>1.13697943012638</v>
      </c>
      <c r="U185" s="1">
        <f t="shared" si="27"/>
        <v>1.23514889410886</v>
      </c>
      <c r="V185" s="1">
        <f t="shared" si="23"/>
        <v>1.61069822712775</v>
      </c>
      <c r="W185" s="1">
        <f t="shared" si="24"/>
        <v>1.89581881902768</v>
      </c>
    </row>
    <row r="186" spans="1:23">
      <c r="A186" s="1" t="s">
        <v>203</v>
      </c>
      <c r="B186" s="1">
        <v>7245</v>
      </c>
      <c r="C186" s="1">
        <v>7245</v>
      </c>
      <c r="D186" s="1">
        <v>46142</v>
      </c>
      <c r="E186" s="1">
        <v>0.83</v>
      </c>
      <c r="F186" s="1">
        <v>1.189</v>
      </c>
      <c r="G186" s="1">
        <v>0.734</v>
      </c>
      <c r="H186" s="1">
        <v>1.176</v>
      </c>
      <c r="I186" s="1">
        <v>0.615</v>
      </c>
      <c r="J186" s="1">
        <v>0.764</v>
      </c>
      <c r="K186" s="1">
        <v>46142</v>
      </c>
      <c r="L186" s="1">
        <v>46150</v>
      </c>
      <c r="M186" s="2">
        <f t="shared" si="20"/>
        <v>1.00017337783364</v>
      </c>
      <c r="N186" s="1">
        <v>76912</v>
      </c>
      <c r="O186" s="2">
        <f t="shared" si="21"/>
        <v>1.66685449265311</v>
      </c>
      <c r="P186" s="1">
        <v>27936</v>
      </c>
      <c r="Q186" s="2">
        <f t="shared" si="26"/>
        <v>0.605435395084738</v>
      </c>
      <c r="S186" s="1">
        <f t="shared" si="25"/>
        <v>0.698065601345669</v>
      </c>
      <c r="T186" s="1">
        <f t="shared" si="22"/>
        <v>1.13079019073569</v>
      </c>
      <c r="U186" s="1">
        <f t="shared" si="27"/>
        <v>0.70578231292517</v>
      </c>
      <c r="V186" s="1">
        <f t="shared" si="23"/>
        <v>1.34959349593496</v>
      </c>
      <c r="W186" s="1">
        <f t="shared" si="24"/>
        <v>1.08638743455497</v>
      </c>
    </row>
    <row r="187" spans="1:23">
      <c r="A187" s="1" t="s">
        <v>204</v>
      </c>
      <c r="B187" s="1">
        <v>3973</v>
      </c>
      <c r="C187" s="1">
        <v>3973</v>
      </c>
      <c r="D187" s="1">
        <v>80211</v>
      </c>
      <c r="E187" s="1">
        <v>1.392</v>
      </c>
      <c r="F187" s="1">
        <v>1.231</v>
      </c>
      <c r="G187" s="1">
        <v>1.145</v>
      </c>
      <c r="H187" s="1">
        <v>1.45</v>
      </c>
      <c r="I187" s="1">
        <v>0.953</v>
      </c>
      <c r="J187" s="1">
        <v>1.116</v>
      </c>
      <c r="K187" s="1">
        <v>80211</v>
      </c>
      <c r="L187" s="1">
        <v>80250</v>
      </c>
      <c r="M187" s="2">
        <f t="shared" si="20"/>
        <v>1.00048621760108</v>
      </c>
      <c r="N187" s="1">
        <v>116884</v>
      </c>
      <c r="O187" s="2">
        <f t="shared" si="21"/>
        <v>1.45720661754622</v>
      </c>
      <c r="P187" s="1">
        <v>49126</v>
      </c>
      <c r="Q187" s="2">
        <f t="shared" si="26"/>
        <v>0.612459637705552</v>
      </c>
      <c r="S187" s="1">
        <f t="shared" si="25"/>
        <v>1.13078797725426</v>
      </c>
      <c r="T187" s="1">
        <f t="shared" si="22"/>
        <v>1.21572052401747</v>
      </c>
      <c r="U187" s="1">
        <f t="shared" si="27"/>
        <v>0.96</v>
      </c>
      <c r="V187" s="1">
        <f t="shared" si="23"/>
        <v>1.46065057712487</v>
      </c>
      <c r="W187" s="1">
        <f t="shared" si="24"/>
        <v>1.24731182795699</v>
      </c>
    </row>
    <row r="188" spans="1:23">
      <c r="A188" s="1" t="s">
        <v>205</v>
      </c>
      <c r="B188" s="1">
        <v>3251</v>
      </c>
      <c r="C188" s="1">
        <v>3251</v>
      </c>
      <c r="D188" s="1">
        <v>66775</v>
      </c>
      <c r="E188" s="1">
        <v>1.144</v>
      </c>
      <c r="F188" s="1">
        <v>1.007</v>
      </c>
      <c r="G188" s="1">
        <v>0.953</v>
      </c>
      <c r="H188" s="1">
        <v>1.151</v>
      </c>
      <c r="I188" s="1">
        <v>0.795</v>
      </c>
      <c r="J188" s="1">
        <v>0.93</v>
      </c>
      <c r="K188" s="1">
        <v>66775</v>
      </c>
      <c r="L188" s="1">
        <v>66862</v>
      </c>
      <c r="M188" s="2">
        <f t="shared" si="20"/>
        <v>1.00130288281542</v>
      </c>
      <c r="N188" s="1">
        <v>97540</v>
      </c>
      <c r="O188" s="2">
        <f t="shared" si="21"/>
        <v>1.46072631973044</v>
      </c>
      <c r="P188" s="1">
        <v>41258</v>
      </c>
      <c r="Q188" s="2">
        <f t="shared" si="26"/>
        <v>0.617865967802321</v>
      </c>
      <c r="S188" s="1">
        <f t="shared" si="25"/>
        <v>1.13604766633565</v>
      </c>
      <c r="T188" s="1">
        <f t="shared" si="22"/>
        <v>1.20041972717733</v>
      </c>
      <c r="U188" s="1">
        <f t="shared" si="27"/>
        <v>0.993918331885317</v>
      </c>
      <c r="V188" s="1">
        <f t="shared" si="23"/>
        <v>1.43899371069182</v>
      </c>
      <c r="W188" s="1">
        <f t="shared" si="24"/>
        <v>1.23010752688172</v>
      </c>
    </row>
    <row r="189" spans="1:23">
      <c r="A189" s="1" t="s">
        <v>206</v>
      </c>
      <c r="B189" s="1">
        <v>6867</v>
      </c>
      <c r="C189" s="1">
        <v>6867</v>
      </c>
      <c r="D189" s="1">
        <v>98671</v>
      </c>
      <c r="E189" s="1">
        <v>1.77</v>
      </c>
      <c r="F189" s="1">
        <v>1.583</v>
      </c>
      <c r="G189" s="1">
        <v>1.487</v>
      </c>
      <c r="H189" s="1">
        <v>1.556</v>
      </c>
      <c r="I189" s="1">
        <v>1.318</v>
      </c>
      <c r="J189" s="1">
        <v>1.372</v>
      </c>
      <c r="K189" s="1">
        <v>98671</v>
      </c>
      <c r="L189" s="1">
        <v>98736</v>
      </c>
      <c r="M189" s="2">
        <f t="shared" si="20"/>
        <v>1.00065875485198</v>
      </c>
      <c r="N189" s="1">
        <v>118950</v>
      </c>
      <c r="O189" s="2">
        <f t="shared" si="21"/>
        <v>1.20552137912862</v>
      </c>
      <c r="P189" s="1">
        <v>63774</v>
      </c>
      <c r="Q189" s="2">
        <f t="shared" si="26"/>
        <v>0.646329722005452</v>
      </c>
      <c r="S189" s="1">
        <f t="shared" si="25"/>
        <v>1.11813013265951</v>
      </c>
      <c r="T189" s="1">
        <f t="shared" si="22"/>
        <v>1.19031607262946</v>
      </c>
      <c r="U189" s="1">
        <f t="shared" si="27"/>
        <v>1.13753213367609</v>
      </c>
      <c r="V189" s="1">
        <f t="shared" si="23"/>
        <v>1.34294385432473</v>
      </c>
      <c r="W189" s="1">
        <f t="shared" si="24"/>
        <v>1.29008746355685</v>
      </c>
    </row>
    <row r="190" spans="1:23">
      <c r="A190" s="1" t="s">
        <v>207</v>
      </c>
      <c r="B190" s="1">
        <v>3363</v>
      </c>
      <c r="C190" s="1">
        <v>3363</v>
      </c>
      <c r="D190" s="1">
        <v>99471</v>
      </c>
      <c r="E190" s="1">
        <v>1.758</v>
      </c>
      <c r="F190" s="1">
        <v>1.508</v>
      </c>
      <c r="G190" s="1">
        <v>1.404</v>
      </c>
      <c r="H190" s="1">
        <v>1.292</v>
      </c>
      <c r="I190" s="1">
        <v>1.033</v>
      </c>
      <c r="J190" s="1">
        <v>1.319</v>
      </c>
      <c r="K190" s="1">
        <v>99471</v>
      </c>
      <c r="L190" s="1">
        <v>99532</v>
      </c>
      <c r="M190" s="2">
        <f t="shared" si="20"/>
        <v>1.00061324406108</v>
      </c>
      <c r="N190" s="1">
        <v>99546</v>
      </c>
      <c r="O190" s="2">
        <f t="shared" si="21"/>
        <v>1.00075398859969</v>
      </c>
      <c r="P190" s="1">
        <v>53096</v>
      </c>
      <c r="Q190" s="2">
        <f t="shared" si="26"/>
        <v>0.533783715856883</v>
      </c>
      <c r="S190" s="1">
        <f t="shared" si="25"/>
        <v>1.1657824933687</v>
      </c>
      <c r="T190" s="1">
        <f t="shared" si="22"/>
        <v>1.25213675213675</v>
      </c>
      <c r="U190" s="1">
        <f t="shared" si="27"/>
        <v>1.36068111455108</v>
      </c>
      <c r="V190" s="1">
        <f t="shared" si="23"/>
        <v>1.70183930300097</v>
      </c>
      <c r="W190" s="1">
        <f t="shared" si="24"/>
        <v>1.33282789992418</v>
      </c>
    </row>
    <row r="191" spans="1:23">
      <c r="A191" s="1" t="s">
        <v>208</v>
      </c>
      <c r="B191" s="1">
        <v>6001</v>
      </c>
      <c r="C191" s="1">
        <v>6001</v>
      </c>
      <c r="D191" s="1">
        <v>2269501</v>
      </c>
      <c r="E191" s="1">
        <v>48.15</v>
      </c>
      <c r="F191" s="1">
        <v>32.682</v>
      </c>
      <c r="G191" s="1">
        <v>37.001</v>
      </c>
      <c r="H191" s="1">
        <v>26.449</v>
      </c>
      <c r="I191" s="1">
        <v>22.342</v>
      </c>
      <c r="J191" s="1">
        <v>22.982</v>
      </c>
      <c r="K191" s="1">
        <v>2269501</v>
      </c>
      <c r="L191" s="1">
        <v>2270996</v>
      </c>
      <c r="M191" s="2">
        <f t="shared" si="20"/>
        <v>1.00065873511402</v>
      </c>
      <c r="N191" s="1">
        <v>2287500</v>
      </c>
      <c r="O191" s="2">
        <f t="shared" si="21"/>
        <v>1.00793081827239</v>
      </c>
      <c r="P191" s="1">
        <v>1138500</v>
      </c>
      <c r="Q191" s="2">
        <f t="shared" si="26"/>
        <v>0.501652125290978</v>
      </c>
      <c r="S191" s="1">
        <f t="shared" si="25"/>
        <v>1.47328804846705</v>
      </c>
      <c r="T191" s="1">
        <f t="shared" si="22"/>
        <v>1.30131618064377</v>
      </c>
      <c r="U191" s="1">
        <f t="shared" si="27"/>
        <v>1.82048470641612</v>
      </c>
      <c r="V191" s="1">
        <f t="shared" si="23"/>
        <v>2.1551338286635</v>
      </c>
      <c r="W191" s="1">
        <f t="shared" si="24"/>
        <v>2.0951179183709</v>
      </c>
    </row>
    <row r="192" spans="1:23">
      <c r="A192" s="1" t="s">
        <v>209</v>
      </c>
      <c r="B192" s="1">
        <v>343791</v>
      </c>
      <c r="C192" s="1">
        <v>343791</v>
      </c>
      <c r="D192" s="1">
        <v>26837113</v>
      </c>
      <c r="E192" s="1">
        <v>773.28</v>
      </c>
      <c r="F192" s="1">
        <v>728.913</v>
      </c>
      <c r="G192" s="1">
        <v>723.834</v>
      </c>
      <c r="H192" s="1">
        <v>643.648</v>
      </c>
      <c r="I192" s="1">
        <v>550.207</v>
      </c>
      <c r="J192" s="1">
        <v>443.268</v>
      </c>
      <c r="K192" s="1">
        <v>26837113</v>
      </c>
      <c r="L192" s="1">
        <v>26871604</v>
      </c>
      <c r="M192" s="2">
        <f t="shared" si="20"/>
        <v>1.00128519785269</v>
      </c>
      <c r="N192" s="1">
        <v>31393008</v>
      </c>
      <c r="O192" s="2">
        <f t="shared" si="21"/>
        <v>1.1697609947836</v>
      </c>
      <c r="P192" s="1">
        <v>14241974</v>
      </c>
      <c r="Q192" s="2">
        <f t="shared" si="26"/>
        <v>0.530682044674477</v>
      </c>
      <c r="S192" s="1">
        <f t="shared" si="25"/>
        <v>1.06086734630882</v>
      </c>
      <c r="T192" s="1">
        <f t="shared" si="22"/>
        <v>1.06831124263298</v>
      </c>
      <c r="U192" s="1">
        <f t="shared" si="27"/>
        <v>1.20140200855126</v>
      </c>
      <c r="V192" s="1">
        <f t="shared" si="23"/>
        <v>1.4054346818561</v>
      </c>
      <c r="W192" s="1">
        <f t="shared" si="24"/>
        <v>1.74449768537318</v>
      </c>
    </row>
    <row r="193" spans="1:23">
      <c r="A193" s="1" t="s">
        <v>210</v>
      </c>
      <c r="B193" s="1">
        <v>71505</v>
      </c>
      <c r="C193" s="1">
        <v>71505</v>
      </c>
      <c r="D193" s="1">
        <v>5294285</v>
      </c>
      <c r="E193" s="1">
        <v>140.128</v>
      </c>
      <c r="F193" s="1">
        <v>126.056</v>
      </c>
      <c r="G193" s="1">
        <v>131.373</v>
      </c>
      <c r="H193" s="1">
        <v>112.306</v>
      </c>
      <c r="I193" s="1">
        <v>76.647</v>
      </c>
      <c r="J193" s="1">
        <v>84.088</v>
      </c>
      <c r="K193" s="1">
        <v>5294285</v>
      </c>
      <c r="L193" s="1">
        <v>5302964</v>
      </c>
      <c r="M193" s="2">
        <f t="shared" si="20"/>
        <v>1.0016393148461</v>
      </c>
      <c r="N193" s="1">
        <v>6187722</v>
      </c>
      <c r="O193" s="2">
        <f t="shared" si="21"/>
        <v>1.16875498768956</v>
      </c>
      <c r="P193" s="1">
        <v>2815942</v>
      </c>
      <c r="Q193" s="2">
        <f t="shared" si="26"/>
        <v>0.531883342132129</v>
      </c>
      <c r="S193" s="1">
        <f t="shared" si="25"/>
        <v>1.11163292504918</v>
      </c>
      <c r="T193" s="1">
        <f t="shared" si="22"/>
        <v>1.06664230854133</v>
      </c>
      <c r="U193" s="1">
        <f t="shared" si="27"/>
        <v>1.24773386996242</v>
      </c>
      <c r="V193" s="1">
        <f t="shared" si="23"/>
        <v>1.82822550132425</v>
      </c>
      <c r="W193" s="1">
        <f t="shared" si="24"/>
        <v>1.66644467700504</v>
      </c>
    </row>
    <row r="194" spans="1:23">
      <c r="A194" s="1" t="s">
        <v>211</v>
      </c>
      <c r="B194" s="1">
        <v>10000</v>
      </c>
      <c r="C194" s="1">
        <v>10000</v>
      </c>
      <c r="D194" s="1">
        <v>158304</v>
      </c>
      <c r="E194" s="1">
        <v>5.182</v>
      </c>
      <c r="F194" s="1">
        <v>5.731</v>
      </c>
      <c r="G194" s="1">
        <v>5.026</v>
      </c>
      <c r="H194" s="1">
        <v>7.209</v>
      </c>
      <c r="I194" s="1">
        <v>5.921</v>
      </c>
      <c r="J194" s="1">
        <v>5.121</v>
      </c>
      <c r="K194" s="1">
        <v>158304</v>
      </c>
      <c r="L194" s="1">
        <v>159006</v>
      </c>
      <c r="M194" s="2">
        <f t="shared" si="20"/>
        <v>1.00443450576107</v>
      </c>
      <c r="N194" s="1">
        <v>315964</v>
      </c>
      <c r="O194" s="2">
        <f t="shared" si="21"/>
        <v>1.9959318779058</v>
      </c>
      <c r="P194" s="1">
        <v>167738</v>
      </c>
      <c r="Q194" s="2">
        <f t="shared" si="26"/>
        <v>1.05959419850414</v>
      </c>
      <c r="S194" s="1">
        <f t="shared" si="25"/>
        <v>0.904205199790613</v>
      </c>
      <c r="T194" s="1">
        <f t="shared" si="22"/>
        <v>1.03103859928372</v>
      </c>
      <c r="U194" s="1">
        <f t="shared" si="27"/>
        <v>0.718823692606464</v>
      </c>
      <c r="V194" s="1">
        <f t="shared" si="23"/>
        <v>0.875190001688904</v>
      </c>
      <c r="W194" s="1">
        <f t="shared" si="24"/>
        <v>1.01191173598906</v>
      </c>
    </row>
    <row r="195" spans="1:23">
      <c r="A195" s="1" t="s">
        <v>212</v>
      </c>
      <c r="B195" s="1">
        <v>638802</v>
      </c>
      <c r="C195" s="1">
        <v>638802</v>
      </c>
      <c r="D195" s="1">
        <v>28614564</v>
      </c>
      <c r="E195" s="1">
        <v>753.103</v>
      </c>
      <c r="F195" s="1">
        <v>650.876</v>
      </c>
      <c r="G195" s="1">
        <v>661.528</v>
      </c>
      <c r="H195" s="1">
        <v>598.473</v>
      </c>
      <c r="I195" s="1">
        <v>464.905</v>
      </c>
      <c r="J195" s="1">
        <v>404.254</v>
      </c>
      <c r="K195" s="1">
        <v>28614564</v>
      </c>
      <c r="L195" s="1">
        <v>28635576</v>
      </c>
      <c r="M195" s="2">
        <f t="shared" ref="M195:M242" si="28">L195/K195</f>
        <v>1.00073431138074</v>
      </c>
      <c r="N195" s="1">
        <v>32587014</v>
      </c>
      <c r="O195" s="2">
        <f t="shared" ref="O195:O258" si="29">N195/K195</f>
        <v>1.13882615859532</v>
      </c>
      <c r="P195" s="1">
        <v>15336874</v>
      </c>
      <c r="Q195" s="2">
        <f t="shared" si="26"/>
        <v>0.535981397445021</v>
      </c>
      <c r="S195" s="1">
        <f t="shared" si="25"/>
        <v>1.15706063827826</v>
      </c>
      <c r="T195" s="1">
        <f t="shared" ref="T195:T258" si="30">E195/G195</f>
        <v>1.1384295146993</v>
      </c>
      <c r="U195" s="1">
        <f t="shared" si="27"/>
        <v>1.25837422907967</v>
      </c>
      <c r="V195" s="1">
        <f t="shared" ref="V195:V258" si="31">E195/I195</f>
        <v>1.61990729288779</v>
      </c>
      <c r="W195" s="1">
        <f t="shared" ref="W195:W258" si="32">E195/J195</f>
        <v>1.86294507908394</v>
      </c>
    </row>
    <row r="196" spans="1:23">
      <c r="A196" s="1" t="s">
        <v>213</v>
      </c>
      <c r="B196" s="1">
        <v>106437</v>
      </c>
      <c r="C196" s="1">
        <v>106437</v>
      </c>
      <c r="D196" s="1">
        <v>2707179</v>
      </c>
      <c r="E196" s="1">
        <v>64.696</v>
      </c>
      <c r="F196" s="1">
        <v>60.953</v>
      </c>
      <c r="G196" s="1">
        <v>57.779</v>
      </c>
      <c r="H196" s="1">
        <v>70.653</v>
      </c>
      <c r="I196" s="1">
        <v>51.669</v>
      </c>
      <c r="J196" s="1">
        <v>41.829</v>
      </c>
      <c r="K196" s="1">
        <v>2707179</v>
      </c>
      <c r="L196" s="1">
        <v>2715008</v>
      </c>
      <c r="M196" s="2">
        <f t="shared" si="28"/>
        <v>1.00289194028175</v>
      </c>
      <c r="N196" s="1">
        <v>4205096</v>
      </c>
      <c r="O196" s="2">
        <f t="shared" si="29"/>
        <v>1.55331287661436</v>
      </c>
      <c r="P196" s="1">
        <v>1899526</v>
      </c>
      <c r="Q196" s="2">
        <f t="shared" si="26"/>
        <v>0.701662505508502</v>
      </c>
      <c r="S196" s="1">
        <f t="shared" si="25"/>
        <v>1.0614079700753</v>
      </c>
      <c r="T196" s="1">
        <f t="shared" si="30"/>
        <v>1.11971477526437</v>
      </c>
      <c r="U196" s="1">
        <f t="shared" si="27"/>
        <v>0.915686524280639</v>
      </c>
      <c r="V196" s="1">
        <f t="shared" si="31"/>
        <v>1.2521240976214</v>
      </c>
      <c r="W196" s="1">
        <f t="shared" si="32"/>
        <v>1.54667814195893</v>
      </c>
    </row>
    <row r="197" spans="1:23">
      <c r="A197" s="1" t="s">
        <v>214</v>
      </c>
      <c r="B197" s="1">
        <v>74752</v>
      </c>
      <c r="C197" s="1">
        <v>74752</v>
      </c>
      <c r="D197" s="1">
        <v>596992</v>
      </c>
      <c r="E197" s="1">
        <v>12.852</v>
      </c>
      <c r="F197" s="1">
        <v>15.03</v>
      </c>
      <c r="G197" s="1">
        <v>11.548</v>
      </c>
      <c r="H197" s="1">
        <v>15.301</v>
      </c>
      <c r="I197" s="1">
        <v>11.238</v>
      </c>
      <c r="J197" s="1">
        <v>12.529</v>
      </c>
      <c r="K197" s="1">
        <v>596992</v>
      </c>
      <c r="L197" s="1">
        <v>598320</v>
      </c>
      <c r="M197" s="2">
        <f t="shared" si="28"/>
        <v>1.00222448542024</v>
      </c>
      <c r="N197" s="1">
        <v>942080</v>
      </c>
      <c r="O197" s="2">
        <f t="shared" si="29"/>
        <v>1.57804459691252</v>
      </c>
      <c r="P197" s="1">
        <v>420928</v>
      </c>
      <c r="Q197" s="2">
        <f t="shared" si="26"/>
        <v>0.705081475128645</v>
      </c>
      <c r="S197" s="1">
        <f t="shared" si="25"/>
        <v>0.855089820359281</v>
      </c>
      <c r="T197" s="1">
        <f t="shared" si="30"/>
        <v>1.11291998614479</v>
      </c>
      <c r="U197" s="1">
        <f t="shared" si="27"/>
        <v>0.839945101627345</v>
      </c>
      <c r="V197" s="1">
        <f t="shared" si="31"/>
        <v>1.14361986118526</v>
      </c>
      <c r="W197" s="1">
        <f t="shared" si="32"/>
        <v>1.02578018995929</v>
      </c>
    </row>
    <row r="198" spans="1:23">
      <c r="A198" s="1" t="s">
        <v>215</v>
      </c>
      <c r="B198" s="1">
        <v>1564794</v>
      </c>
      <c r="C198" s="1">
        <v>1564794</v>
      </c>
      <c r="D198" s="1">
        <v>117406044</v>
      </c>
      <c r="E198" s="1">
        <v>3066.64</v>
      </c>
      <c r="F198" s="1">
        <v>2564.65</v>
      </c>
      <c r="G198" s="1">
        <v>2596.91</v>
      </c>
      <c r="H198" s="1">
        <v>2212.72</v>
      </c>
      <c r="I198" s="1">
        <v>1458.59</v>
      </c>
      <c r="J198" s="1">
        <v>1422.68</v>
      </c>
      <c r="K198" s="1">
        <v>117406044</v>
      </c>
      <c r="L198" s="1">
        <v>117448836</v>
      </c>
      <c r="M198" s="2">
        <f t="shared" si="28"/>
        <v>1.0003644786805</v>
      </c>
      <c r="N198" s="1">
        <v>130244220</v>
      </c>
      <c r="O198" s="2">
        <f t="shared" si="29"/>
        <v>1.10934851020106</v>
      </c>
      <c r="P198" s="1">
        <v>60507396</v>
      </c>
      <c r="Q198" s="2">
        <f t="shared" si="26"/>
        <v>0.515368663643926</v>
      </c>
      <c r="S198" s="1">
        <f t="shared" si="25"/>
        <v>1.19573431072466</v>
      </c>
      <c r="T198" s="1">
        <f t="shared" si="30"/>
        <v>1.18088035395913</v>
      </c>
      <c r="U198" s="1">
        <f t="shared" si="27"/>
        <v>1.38591416898659</v>
      </c>
      <c r="V198" s="1">
        <f t="shared" si="31"/>
        <v>2.10246882263007</v>
      </c>
      <c r="W198" s="1">
        <f t="shared" si="32"/>
        <v>2.15553743638766</v>
      </c>
    </row>
    <row r="199" spans="1:23">
      <c r="A199" s="1" t="s">
        <v>216</v>
      </c>
      <c r="B199" s="1">
        <v>9669</v>
      </c>
      <c r="C199" s="1">
        <v>9669</v>
      </c>
      <c r="D199" s="1">
        <v>67391</v>
      </c>
      <c r="E199" s="1">
        <v>1.188</v>
      </c>
      <c r="F199" s="1">
        <v>1.275</v>
      </c>
      <c r="G199" s="1">
        <v>1.067</v>
      </c>
      <c r="H199" s="1">
        <v>1.707</v>
      </c>
      <c r="I199" s="1">
        <v>1.558</v>
      </c>
      <c r="J199" s="1">
        <v>1.115</v>
      </c>
      <c r="K199" s="1">
        <v>67391</v>
      </c>
      <c r="L199" s="1">
        <v>67412</v>
      </c>
      <c r="M199" s="2">
        <f t="shared" si="28"/>
        <v>1.00031161431052</v>
      </c>
      <c r="N199" s="1">
        <v>124214</v>
      </c>
      <c r="O199" s="2">
        <f t="shared" si="29"/>
        <v>1.84318380792687</v>
      </c>
      <c r="P199" s="1">
        <v>53612</v>
      </c>
      <c r="Q199" s="2">
        <f t="shared" si="26"/>
        <v>0.795536495971272</v>
      </c>
      <c r="S199" s="1">
        <f t="shared" si="25"/>
        <v>0.931764705882353</v>
      </c>
      <c r="T199" s="1">
        <f t="shared" si="30"/>
        <v>1.11340206185567</v>
      </c>
      <c r="U199" s="1">
        <f t="shared" si="27"/>
        <v>0.695957820738137</v>
      </c>
      <c r="V199" s="1">
        <f t="shared" si="31"/>
        <v>0.762516046213094</v>
      </c>
      <c r="W199" s="1">
        <f t="shared" si="32"/>
        <v>1.06547085201794</v>
      </c>
    </row>
    <row r="200" spans="1:23">
      <c r="A200" s="1" t="s">
        <v>217</v>
      </c>
      <c r="B200" s="1">
        <v>5218</v>
      </c>
      <c r="C200" s="1">
        <v>5218</v>
      </c>
      <c r="D200" s="1">
        <v>40080</v>
      </c>
      <c r="E200" s="1">
        <v>0.766</v>
      </c>
      <c r="F200" s="1">
        <v>0.717</v>
      </c>
      <c r="G200" s="1">
        <v>0.622</v>
      </c>
      <c r="H200" s="1">
        <v>0.827</v>
      </c>
      <c r="I200" s="1">
        <v>0.495</v>
      </c>
      <c r="J200" s="1">
        <v>0.709</v>
      </c>
      <c r="K200" s="1">
        <v>40080</v>
      </c>
      <c r="L200" s="1">
        <v>41150</v>
      </c>
      <c r="M200" s="2">
        <f t="shared" si="28"/>
        <v>1.02669660678643</v>
      </c>
      <c r="N200" s="1">
        <v>59832</v>
      </c>
      <c r="O200" s="2">
        <f t="shared" si="29"/>
        <v>1.49281437125749</v>
      </c>
      <c r="P200" s="1">
        <v>23774</v>
      </c>
      <c r="Q200" s="2">
        <f t="shared" si="26"/>
        <v>0.593163672654691</v>
      </c>
      <c r="S200" s="1">
        <f t="shared" si="25"/>
        <v>1.06834030683403</v>
      </c>
      <c r="T200" s="1">
        <f t="shared" si="30"/>
        <v>1.23151125401929</v>
      </c>
      <c r="U200" s="1">
        <f t="shared" si="27"/>
        <v>0.926239419588876</v>
      </c>
      <c r="V200" s="1">
        <f t="shared" si="31"/>
        <v>1.54747474747475</v>
      </c>
      <c r="W200" s="1">
        <f t="shared" si="32"/>
        <v>1.08039492242595</v>
      </c>
    </row>
    <row r="201" spans="1:23">
      <c r="A201" s="1" t="s">
        <v>218</v>
      </c>
      <c r="B201" s="1">
        <v>5438</v>
      </c>
      <c r="C201" s="1">
        <v>5438</v>
      </c>
      <c r="D201" s="1">
        <v>40054</v>
      </c>
      <c r="E201" s="1">
        <v>0.75</v>
      </c>
      <c r="F201" s="1">
        <v>0.72</v>
      </c>
      <c r="G201" s="1">
        <v>0.629</v>
      </c>
      <c r="H201" s="1">
        <v>0.831</v>
      </c>
      <c r="I201" s="1">
        <v>0.491</v>
      </c>
      <c r="J201" s="1">
        <v>0.699</v>
      </c>
      <c r="K201" s="1">
        <v>40054</v>
      </c>
      <c r="L201" s="1">
        <v>41168</v>
      </c>
      <c r="M201" s="2">
        <f t="shared" si="28"/>
        <v>1.0278124531882</v>
      </c>
      <c r="N201" s="1">
        <v>60648</v>
      </c>
      <c r="O201" s="2">
        <f t="shared" si="29"/>
        <v>1.51415588954911</v>
      </c>
      <c r="P201" s="1">
        <v>23866</v>
      </c>
      <c r="Q201" s="2">
        <f t="shared" si="26"/>
        <v>0.595845608428621</v>
      </c>
      <c r="S201" s="1">
        <f t="shared" ref="S201:S264" si="33">E201/F201</f>
        <v>1.04166666666667</v>
      </c>
      <c r="T201" s="1">
        <f t="shared" si="30"/>
        <v>1.19236883942766</v>
      </c>
      <c r="U201" s="1">
        <f t="shared" si="27"/>
        <v>0.902527075812274</v>
      </c>
      <c r="V201" s="1">
        <f t="shared" si="31"/>
        <v>1.52749490835031</v>
      </c>
      <c r="W201" s="1">
        <f t="shared" si="32"/>
        <v>1.07296137339056</v>
      </c>
    </row>
    <row r="202" spans="1:23">
      <c r="A202" s="1" t="s">
        <v>219</v>
      </c>
      <c r="B202" s="1">
        <v>5578</v>
      </c>
      <c r="C202" s="1">
        <v>5578</v>
      </c>
      <c r="D202" s="1">
        <v>41940</v>
      </c>
      <c r="E202" s="1">
        <v>0.803</v>
      </c>
      <c r="F202" s="1">
        <v>0.749</v>
      </c>
      <c r="G202" s="1">
        <v>0.661</v>
      </c>
      <c r="H202" s="1">
        <v>0.872</v>
      </c>
      <c r="I202" s="1">
        <v>0.527</v>
      </c>
      <c r="J202" s="1">
        <v>0.737</v>
      </c>
      <c r="K202" s="1">
        <v>41940</v>
      </c>
      <c r="L202" s="1">
        <v>43082</v>
      </c>
      <c r="M202" s="2">
        <f t="shared" si="28"/>
        <v>1.02722937529804</v>
      </c>
      <c r="N202" s="1">
        <v>63072</v>
      </c>
      <c r="O202" s="2">
        <f t="shared" si="29"/>
        <v>1.50386266094421</v>
      </c>
      <c r="P202" s="1">
        <v>24968</v>
      </c>
      <c r="Q202" s="2">
        <f t="shared" si="26"/>
        <v>0.595326657129232</v>
      </c>
      <c r="S202" s="1">
        <f t="shared" si="33"/>
        <v>1.07209612817089</v>
      </c>
      <c r="T202" s="1">
        <f t="shared" si="30"/>
        <v>1.21482602118003</v>
      </c>
      <c r="U202" s="1">
        <f t="shared" si="27"/>
        <v>0.920871559633028</v>
      </c>
      <c r="V202" s="1">
        <f t="shared" si="31"/>
        <v>1.52371916508539</v>
      </c>
      <c r="W202" s="1">
        <f t="shared" si="32"/>
        <v>1.08955223880597</v>
      </c>
    </row>
    <row r="203" spans="1:23">
      <c r="A203" s="1" t="s">
        <v>220</v>
      </c>
      <c r="B203" s="1">
        <v>5718</v>
      </c>
      <c r="C203" s="1">
        <v>5718</v>
      </c>
      <c r="D203" s="1">
        <v>43994</v>
      </c>
      <c r="E203" s="1">
        <v>0.845</v>
      </c>
      <c r="F203" s="1">
        <v>0.794</v>
      </c>
      <c r="G203" s="1">
        <v>0.689</v>
      </c>
      <c r="H203" s="1">
        <v>0.912</v>
      </c>
      <c r="I203" s="1">
        <v>0.571</v>
      </c>
      <c r="J203" s="1">
        <v>0.789</v>
      </c>
      <c r="K203" s="1">
        <v>43994</v>
      </c>
      <c r="L203" s="1">
        <v>45190</v>
      </c>
      <c r="M203" s="2">
        <f t="shared" si="28"/>
        <v>1.0271855252989</v>
      </c>
      <c r="N203" s="1">
        <v>65664</v>
      </c>
      <c r="O203" s="2">
        <f t="shared" si="29"/>
        <v>1.49256716825022</v>
      </c>
      <c r="P203" s="1">
        <v>26038</v>
      </c>
      <c r="Q203" s="2">
        <f t="shared" si="26"/>
        <v>0.591853434559258</v>
      </c>
      <c r="S203" s="1">
        <f t="shared" si="33"/>
        <v>1.06423173803526</v>
      </c>
      <c r="T203" s="1">
        <f t="shared" si="30"/>
        <v>1.22641509433962</v>
      </c>
      <c r="U203" s="1">
        <f t="shared" si="27"/>
        <v>0.926535087719298</v>
      </c>
      <c r="V203" s="1">
        <f t="shared" si="31"/>
        <v>1.47985989492119</v>
      </c>
      <c r="W203" s="1">
        <f t="shared" si="32"/>
        <v>1.07097591888466</v>
      </c>
    </row>
    <row r="204" spans="1:23">
      <c r="A204" s="1" t="s">
        <v>221</v>
      </c>
      <c r="B204" s="1">
        <v>5958</v>
      </c>
      <c r="C204" s="1">
        <v>5958</v>
      </c>
      <c r="D204" s="1">
        <v>43298</v>
      </c>
      <c r="E204" s="1">
        <v>0.821</v>
      </c>
      <c r="F204" s="1">
        <v>0.793</v>
      </c>
      <c r="G204" s="1">
        <v>0.699</v>
      </c>
      <c r="H204" s="1">
        <v>0.907</v>
      </c>
      <c r="I204" s="1">
        <v>0.57</v>
      </c>
      <c r="J204" s="1">
        <v>0.752</v>
      </c>
      <c r="K204" s="1">
        <v>43298</v>
      </c>
      <c r="L204" s="1">
        <v>44520</v>
      </c>
      <c r="M204" s="2">
        <f t="shared" si="28"/>
        <v>1.02822301261028</v>
      </c>
      <c r="N204" s="1">
        <v>65880</v>
      </c>
      <c r="O204" s="2">
        <f t="shared" si="29"/>
        <v>1.52154833941522</v>
      </c>
      <c r="P204" s="1">
        <v>25858</v>
      </c>
      <c r="Q204" s="2">
        <f t="shared" si="26"/>
        <v>0.597210032795972</v>
      </c>
      <c r="S204" s="1">
        <f t="shared" si="33"/>
        <v>1.03530895334174</v>
      </c>
      <c r="T204" s="1">
        <f t="shared" si="30"/>
        <v>1.17453505007153</v>
      </c>
      <c r="U204" s="1">
        <f t="shared" si="27"/>
        <v>0.905181918412348</v>
      </c>
      <c r="V204" s="1">
        <f t="shared" si="31"/>
        <v>1.44035087719298</v>
      </c>
      <c r="W204" s="1">
        <f t="shared" si="32"/>
        <v>1.09175531914894</v>
      </c>
    </row>
    <row r="205" spans="1:23">
      <c r="A205" s="1" t="s">
        <v>222</v>
      </c>
      <c r="B205" s="1">
        <v>6038</v>
      </c>
      <c r="C205" s="1">
        <v>6038</v>
      </c>
      <c r="D205" s="1">
        <v>43378</v>
      </c>
      <c r="E205" s="1">
        <v>0.824</v>
      </c>
      <c r="F205" s="1">
        <v>0.798</v>
      </c>
      <c r="G205" s="1">
        <v>0.702</v>
      </c>
      <c r="H205" s="1">
        <v>0.915</v>
      </c>
      <c r="I205" s="1">
        <v>0.566</v>
      </c>
      <c r="J205" s="1">
        <v>0.757</v>
      </c>
      <c r="K205" s="1">
        <v>43378</v>
      </c>
      <c r="L205" s="1">
        <v>44634</v>
      </c>
      <c r="M205" s="2">
        <f t="shared" si="28"/>
        <v>1.02895476969893</v>
      </c>
      <c r="N205" s="1">
        <v>66264</v>
      </c>
      <c r="O205" s="2">
        <f t="shared" si="29"/>
        <v>1.52759463322421</v>
      </c>
      <c r="P205" s="1">
        <v>25972</v>
      </c>
      <c r="Q205" s="2">
        <f t="shared" si="26"/>
        <v>0.59873668679976</v>
      </c>
      <c r="S205" s="1">
        <f t="shared" si="33"/>
        <v>1.03258145363409</v>
      </c>
      <c r="T205" s="1">
        <f t="shared" si="30"/>
        <v>1.17378917378917</v>
      </c>
      <c r="U205" s="1">
        <f t="shared" si="27"/>
        <v>0.900546448087432</v>
      </c>
      <c r="V205" s="1">
        <f t="shared" si="31"/>
        <v>1.45583038869258</v>
      </c>
      <c r="W205" s="1">
        <f t="shared" si="32"/>
        <v>1.0885072655218</v>
      </c>
    </row>
    <row r="206" spans="1:23">
      <c r="A206" s="1" t="s">
        <v>223</v>
      </c>
      <c r="B206" s="1">
        <v>6078</v>
      </c>
      <c r="C206" s="1">
        <v>6078</v>
      </c>
      <c r="D206" s="1">
        <v>44006</v>
      </c>
      <c r="E206" s="1">
        <v>0.847</v>
      </c>
      <c r="F206" s="1">
        <v>0.806</v>
      </c>
      <c r="G206" s="1">
        <v>0.696</v>
      </c>
      <c r="H206" s="1">
        <v>0.979</v>
      </c>
      <c r="I206" s="1">
        <v>0.579</v>
      </c>
      <c r="J206" s="1">
        <v>0.778</v>
      </c>
      <c r="K206" s="1">
        <v>44006</v>
      </c>
      <c r="L206" s="1">
        <v>45274</v>
      </c>
      <c r="M206" s="2">
        <f t="shared" si="28"/>
        <v>1.02881425260192</v>
      </c>
      <c r="N206" s="1">
        <v>67044</v>
      </c>
      <c r="O206" s="2">
        <f t="shared" si="29"/>
        <v>1.52351952006545</v>
      </c>
      <c r="P206" s="1">
        <v>26296</v>
      </c>
      <c r="Q206" s="2">
        <f t="shared" si="26"/>
        <v>0.597554878880153</v>
      </c>
      <c r="S206" s="1">
        <f t="shared" si="33"/>
        <v>1.05086848635236</v>
      </c>
      <c r="T206" s="1">
        <f t="shared" si="30"/>
        <v>1.21695402298851</v>
      </c>
      <c r="U206" s="1">
        <f t="shared" si="27"/>
        <v>0.865168539325843</v>
      </c>
      <c r="V206" s="1">
        <f t="shared" si="31"/>
        <v>1.46286701208981</v>
      </c>
      <c r="W206" s="1">
        <f t="shared" si="32"/>
        <v>1.08868894601542</v>
      </c>
    </row>
    <row r="207" spans="1:23">
      <c r="A207" s="1" t="s">
        <v>224</v>
      </c>
      <c r="B207" s="1">
        <v>3358</v>
      </c>
      <c r="C207" s="1">
        <v>3358</v>
      </c>
      <c r="D207" s="1">
        <v>27030</v>
      </c>
      <c r="E207" s="1">
        <v>0.499</v>
      </c>
      <c r="F207" s="1">
        <v>0.467</v>
      </c>
      <c r="G207" s="1">
        <v>0.404</v>
      </c>
      <c r="H207" s="1">
        <v>0.542</v>
      </c>
      <c r="I207" s="1">
        <v>0.349</v>
      </c>
      <c r="J207" s="1">
        <v>0.482</v>
      </c>
      <c r="K207" s="1">
        <v>27030</v>
      </c>
      <c r="L207" s="1">
        <v>27724</v>
      </c>
      <c r="M207" s="2">
        <f t="shared" si="28"/>
        <v>1.02567517573067</v>
      </c>
      <c r="N207" s="1">
        <v>39852</v>
      </c>
      <c r="O207" s="2">
        <f t="shared" si="29"/>
        <v>1.47436182019978</v>
      </c>
      <c r="P207" s="1">
        <v>15946</v>
      </c>
      <c r="Q207" s="2">
        <f t="shared" ref="Q207:Q270" si="34">P207/K207</f>
        <v>0.589937106918239</v>
      </c>
      <c r="S207" s="1">
        <f t="shared" si="33"/>
        <v>1.06852248394004</v>
      </c>
      <c r="T207" s="1">
        <f t="shared" si="30"/>
        <v>1.23514851485149</v>
      </c>
      <c r="U207" s="1">
        <f t="shared" si="27"/>
        <v>0.920664206642066</v>
      </c>
      <c r="V207" s="1">
        <f t="shared" si="31"/>
        <v>1.4297994269341</v>
      </c>
      <c r="W207" s="1">
        <f t="shared" si="32"/>
        <v>1.03526970954357</v>
      </c>
    </row>
    <row r="208" spans="1:23">
      <c r="A208" s="1" t="s">
        <v>225</v>
      </c>
      <c r="B208" s="1">
        <v>3918</v>
      </c>
      <c r="C208" s="1">
        <v>3918</v>
      </c>
      <c r="D208" s="1">
        <v>31046</v>
      </c>
      <c r="E208" s="1">
        <v>0.572</v>
      </c>
      <c r="F208" s="1">
        <v>0.54</v>
      </c>
      <c r="G208" s="1">
        <v>0.474</v>
      </c>
      <c r="H208" s="1">
        <v>0.64</v>
      </c>
      <c r="I208" s="1">
        <v>0.407</v>
      </c>
      <c r="J208" s="1">
        <v>0.553</v>
      </c>
      <c r="K208" s="1">
        <v>31046</v>
      </c>
      <c r="L208" s="1">
        <v>31858</v>
      </c>
      <c r="M208" s="2">
        <f t="shared" si="28"/>
        <v>1.02615473813052</v>
      </c>
      <c r="N208" s="1">
        <v>45828</v>
      </c>
      <c r="O208" s="2">
        <f t="shared" si="29"/>
        <v>1.47613219094247</v>
      </c>
      <c r="P208" s="1">
        <v>18322</v>
      </c>
      <c r="Q208" s="2">
        <f t="shared" si="34"/>
        <v>0.590156541905559</v>
      </c>
      <c r="S208" s="1">
        <f t="shared" si="33"/>
        <v>1.05925925925926</v>
      </c>
      <c r="T208" s="1">
        <f t="shared" si="30"/>
        <v>1.20675105485232</v>
      </c>
      <c r="U208" s="1">
        <f t="shared" si="27"/>
        <v>0.89375</v>
      </c>
      <c r="V208" s="1">
        <f t="shared" si="31"/>
        <v>1.40540540540541</v>
      </c>
      <c r="W208" s="1">
        <f t="shared" si="32"/>
        <v>1.03435804701627</v>
      </c>
    </row>
    <row r="209" spans="1:23">
      <c r="A209" s="1" t="s">
        <v>226</v>
      </c>
      <c r="B209" s="1">
        <v>4398</v>
      </c>
      <c r="C209" s="1">
        <v>4398</v>
      </c>
      <c r="D209" s="1">
        <v>34958</v>
      </c>
      <c r="E209" s="1">
        <v>0.654</v>
      </c>
      <c r="F209" s="1">
        <v>0.61</v>
      </c>
      <c r="G209" s="1">
        <v>0.531</v>
      </c>
      <c r="H209" s="1">
        <v>0.701</v>
      </c>
      <c r="I209" s="1">
        <v>0.453</v>
      </c>
      <c r="J209" s="1">
        <v>0.625</v>
      </c>
      <c r="K209" s="1">
        <v>34958</v>
      </c>
      <c r="L209" s="1">
        <v>35866</v>
      </c>
      <c r="M209" s="2">
        <f t="shared" si="28"/>
        <v>1.02597402597403</v>
      </c>
      <c r="N209" s="1">
        <v>51756</v>
      </c>
      <c r="O209" s="2">
        <f t="shared" si="29"/>
        <v>1.48051948051948</v>
      </c>
      <c r="P209" s="1">
        <v>20674</v>
      </c>
      <c r="Q209" s="2">
        <f t="shared" si="34"/>
        <v>0.591395388752217</v>
      </c>
      <c r="S209" s="1">
        <f t="shared" si="33"/>
        <v>1.07213114754098</v>
      </c>
      <c r="T209" s="1">
        <f t="shared" si="30"/>
        <v>1.2316384180791</v>
      </c>
      <c r="U209" s="1">
        <f t="shared" si="27"/>
        <v>0.932952924393723</v>
      </c>
      <c r="V209" s="1">
        <f t="shared" si="31"/>
        <v>1.44370860927152</v>
      </c>
      <c r="W209" s="1">
        <f t="shared" si="32"/>
        <v>1.0464</v>
      </c>
    </row>
    <row r="210" spans="1:23">
      <c r="A210" s="1" t="s">
        <v>227</v>
      </c>
      <c r="B210" s="1">
        <v>4778</v>
      </c>
      <c r="C210" s="1">
        <v>4778</v>
      </c>
      <c r="D210" s="1">
        <v>39964</v>
      </c>
      <c r="E210" s="1">
        <v>0.747</v>
      </c>
      <c r="F210" s="1">
        <v>0.687</v>
      </c>
      <c r="G210" s="1">
        <v>0.608</v>
      </c>
      <c r="H210" s="1">
        <v>0.775</v>
      </c>
      <c r="I210" s="1">
        <v>0.5</v>
      </c>
      <c r="J210" s="1">
        <v>0.732</v>
      </c>
      <c r="K210" s="1">
        <v>39964</v>
      </c>
      <c r="L210" s="1">
        <v>40954</v>
      </c>
      <c r="M210" s="2">
        <f t="shared" si="28"/>
        <v>1.02477229506556</v>
      </c>
      <c r="N210" s="1">
        <v>58008</v>
      </c>
      <c r="O210" s="2">
        <f t="shared" si="29"/>
        <v>1.45150635572015</v>
      </c>
      <c r="P210" s="1">
        <v>23408</v>
      </c>
      <c r="Q210" s="2">
        <f t="shared" si="34"/>
        <v>0.585727154438995</v>
      </c>
      <c r="S210" s="1">
        <f t="shared" si="33"/>
        <v>1.08733624454148</v>
      </c>
      <c r="T210" s="1">
        <f t="shared" si="30"/>
        <v>1.22861842105263</v>
      </c>
      <c r="U210" s="1">
        <f t="shared" si="27"/>
        <v>0.963870967741935</v>
      </c>
      <c r="V210" s="1">
        <f t="shared" si="31"/>
        <v>1.494</v>
      </c>
      <c r="W210" s="1">
        <f t="shared" si="32"/>
        <v>1.02049180327869</v>
      </c>
    </row>
    <row r="211" spans="1:23">
      <c r="A211" s="1" t="s">
        <v>228</v>
      </c>
      <c r="B211" s="1">
        <v>9604</v>
      </c>
      <c r="C211" s="1">
        <v>9604</v>
      </c>
      <c r="D211" s="1">
        <v>85264</v>
      </c>
      <c r="E211" s="1">
        <v>1.474</v>
      </c>
      <c r="F211" s="1">
        <v>1.498</v>
      </c>
      <c r="G211" s="1">
        <v>1.343</v>
      </c>
      <c r="H211" s="1">
        <v>1.479</v>
      </c>
      <c r="I211" s="1">
        <v>1.153</v>
      </c>
      <c r="J211" s="1">
        <v>1.391</v>
      </c>
      <c r="K211" s="1">
        <v>85264</v>
      </c>
      <c r="L211" s="1">
        <v>85270</v>
      </c>
      <c r="M211" s="2">
        <f t="shared" si="28"/>
        <v>1.00007036967536</v>
      </c>
      <c r="N211" s="1">
        <v>113296</v>
      </c>
      <c r="O211" s="2">
        <f t="shared" si="29"/>
        <v>1.32876712328767</v>
      </c>
      <c r="P211" s="1">
        <v>47726</v>
      </c>
      <c r="Q211" s="2">
        <f t="shared" si="34"/>
        <v>0.559743854381685</v>
      </c>
      <c r="S211" s="1">
        <f t="shared" si="33"/>
        <v>0.983978638184246</v>
      </c>
      <c r="T211" s="1">
        <f t="shared" si="30"/>
        <v>1.09754281459419</v>
      </c>
      <c r="U211" s="1">
        <f t="shared" ref="U211:U274" si="35">E211/H211</f>
        <v>0.996619337390128</v>
      </c>
      <c r="V211" s="1">
        <f t="shared" si="31"/>
        <v>1.27840416305291</v>
      </c>
      <c r="W211" s="1">
        <f t="shared" si="32"/>
        <v>1.05966930265996</v>
      </c>
    </row>
    <row r="212" spans="1:23">
      <c r="A212" s="1" t="s">
        <v>229</v>
      </c>
      <c r="B212" s="1">
        <v>9801</v>
      </c>
      <c r="C212" s="1">
        <v>9801</v>
      </c>
      <c r="D212" s="1">
        <v>87025</v>
      </c>
      <c r="E212" s="1">
        <v>1.513</v>
      </c>
      <c r="F212" s="1">
        <v>1.542</v>
      </c>
      <c r="G212" s="1">
        <v>1.46</v>
      </c>
      <c r="H212" s="1">
        <v>1.515</v>
      </c>
      <c r="I212" s="1">
        <v>1.267</v>
      </c>
      <c r="J212" s="1">
        <v>1.46</v>
      </c>
      <c r="K212" s="1">
        <v>87025</v>
      </c>
      <c r="L212" s="1">
        <v>87026</v>
      </c>
      <c r="M212" s="2">
        <f t="shared" si="28"/>
        <v>1.00001149095088</v>
      </c>
      <c r="N212" s="1">
        <v>115640</v>
      </c>
      <c r="O212" s="2">
        <f t="shared" si="29"/>
        <v>1.32881355932203</v>
      </c>
      <c r="P212" s="1">
        <v>48608</v>
      </c>
      <c r="Q212" s="2">
        <f t="shared" si="34"/>
        <v>0.558552140189601</v>
      </c>
      <c r="S212" s="1">
        <f t="shared" si="33"/>
        <v>0.981193255512322</v>
      </c>
      <c r="T212" s="1">
        <f t="shared" si="30"/>
        <v>1.03630136986301</v>
      </c>
      <c r="U212" s="1">
        <f t="shared" si="35"/>
        <v>0.998679867986799</v>
      </c>
      <c r="V212" s="1">
        <f t="shared" si="31"/>
        <v>1.19415943172849</v>
      </c>
      <c r="W212" s="1">
        <f t="shared" si="32"/>
        <v>1.03630136986301</v>
      </c>
    </row>
    <row r="213" spans="1:23">
      <c r="A213" s="1" t="s">
        <v>230</v>
      </c>
      <c r="B213" s="1">
        <v>9801</v>
      </c>
      <c r="C213" s="1">
        <v>9801</v>
      </c>
      <c r="D213" s="1">
        <v>87025</v>
      </c>
      <c r="E213" s="1">
        <v>1.533</v>
      </c>
      <c r="F213" s="1">
        <v>1.538</v>
      </c>
      <c r="G213" s="1">
        <v>1.362</v>
      </c>
      <c r="H213" s="1">
        <v>1.523</v>
      </c>
      <c r="I213" s="1">
        <v>1.241</v>
      </c>
      <c r="J213" s="1">
        <v>1.448</v>
      </c>
      <c r="K213" s="1">
        <v>87025</v>
      </c>
      <c r="L213" s="1">
        <v>87026</v>
      </c>
      <c r="M213" s="2">
        <f t="shared" si="28"/>
        <v>1.00001149095088</v>
      </c>
      <c r="N213" s="1">
        <v>115640</v>
      </c>
      <c r="O213" s="2">
        <f t="shared" si="29"/>
        <v>1.32881355932203</v>
      </c>
      <c r="P213" s="1">
        <v>48608</v>
      </c>
      <c r="Q213" s="2">
        <f t="shared" si="34"/>
        <v>0.558552140189601</v>
      </c>
      <c r="S213" s="1">
        <f t="shared" si="33"/>
        <v>0.996749024707412</v>
      </c>
      <c r="T213" s="1">
        <f t="shared" si="30"/>
        <v>1.12555066079295</v>
      </c>
      <c r="U213" s="1">
        <f t="shared" si="35"/>
        <v>1.00656598818122</v>
      </c>
      <c r="V213" s="1">
        <f t="shared" si="31"/>
        <v>1.23529411764706</v>
      </c>
      <c r="W213" s="1">
        <f t="shared" si="32"/>
        <v>1.05870165745856</v>
      </c>
    </row>
    <row r="214" spans="1:23">
      <c r="A214" s="1" t="s">
        <v>231</v>
      </c>
      <c r="B214" s="1">
        <v>150102</v>
      </c>
      <c r="C214" s="1">
        <v>150102</v>
      </c>
      <c r="D214" s="1">
        <v>726674</v>
      </c>
      <c r="E214" s="1">
        <v>17.341</v>
      </c>
      <c r="F214" s="1">
        <v>30.905</v>
      </c>
      <c r="G214" s="1">
        <v>16.334</v>
      </c>
      <c r="H214" s="1">
        <v>21.53</v>
      </c>
      <c r="I214" s="1">
        <v>17.068</v>
      </c>
      <c r="J214" s="1">
        <v>14.877</v>
      </c>
      <c r="K214" s="1">
        <v>726674</v>
      </c>
      <c r="L214" s="1">
        <v>726826</v>
      </c>
      <c r="M214" s="2">
        <f t="shared" si="28"/>
        <v>1.00020917220101</v>
      </c>
      <c r="N214" s="1">
        <v>1153144</v>
      </c>
      <c r="O214" s="2">
        <f t="shared" si="29"/>
        <v>1.58687939846479</v>
      </c>
      <c r="P214" s="1">
        <v>472726</v>
      </c>
      <c r="Q214" s="2">
        <f t="shared" si="34"/>
        <v>0.650533801952457</v>
      </c>
      <c r="S214" s="1">
        <f t="shared" si="33"/>
        <v>0.561106617052257</v>
      </c>
      <c r="T214" s="1">
        <f t="shared" si="30"/>
        <v>1.06165054487572</v>
      </c>
      <c r="U214" s="1">
        <f t="shared" si="35"/>
        <v>0.805434277751974</v>
      </c>
      <c r="V214" s="1">
        <f t="shared" si="31"/>
        <v>1.0159948441528</v>
      </c>
      <c r="W214" s="1">
        <f t="shared" si="32"/>
        <v>1.16562478994421</v>
      </c>
    </row>
    <row r="215" spans="1:23">
      <c r="A215" s="1" t="s">
        <v>232</v>
      </c>
      <c r="B215" s="1">
        <v>1585478</v>
      </c>
      <c r="C215" s="1">
        <v>1585478</v>
      </c>
      <c r="D215" s="1">
        <v>7660826</v>
      </c>
      <c r="E215" s="1">
        <v>264.096</v>
      </c>
      <c r="F215" s="1">
        <v>381.137</v>
      </c>
      <c r="G215" s="1">
        <v>254.722</v>
      </c>
      <c r="H215" s="1">
        <v>335.559</v>
      </c>
      <c r="I215" s="1">
        <v>291.938</v>
      </c>
      <c r="J215" s="1">
        <v>208.064</v>
      </c>
      <c r="K215" s="1">
        <v>7660826</v>
      </c>
      <c r="L215" s="1">
        <v>7662696</v>
      </c>
      <c r="M215" s="2">
        <f t="shared" si="28"/>
        <v>1.00024409900447</v>
      </c>
      <c r="N215" s="1">
        <v>12150696</v>
      </c>
      <c r="O215" s="2">
        <f t="shared" si="29"/>
        <v>1.58608170972686</v>
      </c>
      <c r="P215" s="1">
        <v>5025704</v>
      </c>
      <c r="Q215" s="2">
        <f t="shared" si="34"/>
        <v>0.65602638671078</v>
      </c>
      <c r="S215" s="1">
        <f t="shared" si="33"/>
        <v>0.692916195488761</v>
      </c>
      <c r="T215" s="1">
        <f t="shared" si="30"/>
        <v>1.03680090451551</v>
      </c>
      <c r="U215" s="1">
        <f t="shared" si="35"/>
        <v>0.787032980787283</v>
      </c>
      <c r="V215" s="1">
        <f t="shared" si="31"/>
        <v>0.904630435229398</v>
      </c>
      <c r="W215" s="1">
        <f t="shared" si="32"/>
        <v>1.26930175330667</v>
      </c>
    </row>
    <row r="216" spans="1:23">
      <c r="A216" s="1" t="s">
        <v>233</v>
      </c>
      <c r="B216" s="1">
        <v>113081</v>
      </c>
      <c r="C216" s="1">
        <v>113081</v>
      </c>
      <c r="D216" s="1">
        <v>6115633</v>
      </c>
      <c r="E216" s="1">
        <v>160.327</v>
      </c>
      <c r="F216" s="1">
        <v>143.717</v>
      </c>
      <c r="G216" s="1">
        <v>141.096</v>
      </c>
      <c r="H216" s="1">
        <v>140.936</v>
      </c>
      <c r="I216" s="1">
        <v>109.688</v>
      </c>
      <c r="J216" s="1">
        <v>91.123</v>
      </c>
      <c r="K216" s="1">
        <v>6115633</v>
      </c>
      <c r="L216" s="1">
        <v>6143584</v>
      </c>
      <c r="M216" s="2">
        <f t="shared" si="28"/>
        <v>1.00457041813987</v>
      </c>
      <c r="N216" s="1">
        <v>8669438</v>
      </c>
      <c r="O216" s="2">
        <f t="shared" si="29"/>
        <v>1.41758637249815</v>
      </c>
      <c r="P216" s="1">
        <v>3740902</v>
      </c>
      <c r="Q216" s="2">
        <f t="shared" si="34"/>
        <v>0.611694979080661</v>
      </c>
      <c r="S216" s="1">
        <f t="shared" si="33"/>
        <v>1.11557435793956</v>
      </c>
      <c r="T216" s="1">
        <f t="shared" si="30"/>
        <v>1.13629727277882</v>
      </c>
      <c r="U216" s="1">
        <f t="shared" si="35"/>
        <v>1.13758727365613</v>
      </c>
      <c r="V216" s="1">
        <f t="shared" si="31"/>
        <v>1.46166399241485</v>
      </c>
      <c r="W216" s="1">
        <f t="shared" si="32"/>
        <v>1.75945699768445</v>
      </c>
    </row>
    <row r="217" spans="1:23">
      <c r="A217" s="1" t="s">
        <v>234</v>
      </c>
      <c r="B217" s="1">
        <v>133123</v>
      </c>
      <c r="C217" s="1">
        <v>133123</v>
      </c>
      <c r="D217" s="1">
        <v>8884839</v>
      </c>
      <c r="E217" s="1">
        <v>237.523</v>
      </c>
      <c r="F217" s="1">
        <v>207.589</v>
      </c>
      <c r="G217" s="1">
        <v>203.835</v>
      </c>
      <c r="H217" s="1">
        <v>214.283</v>
      </c>
      <c r="I217" s="1">
        <v>158.018</v>
      </c>
      <c r="J217" s="1">
        <v>125.491</v>
      </c>
      <c r="K217" s="1">
        <v>8884839</v>
      </c>
      <c r="L217" s="1">
        <v>8918716</v>
      </c>
      <c r="M217" s="2">
        <f t="shared" si="28"/>
        <v>1.00381289970477</v>
      </c>
      <c r="N217" s="1">
        <v>11911484</v>
      </c>
      <c r="O217" s="2">
        <f t="shared" si="29"/>
        <v>1.34065276815933</v>
      </c>
      <c r="P217" s="1">
        <v>5239924</v>
      </c>
      <c r="Q217" s="2">
        <f t="shared" si="34"/>
        <v>0.589760152097297</v>
      </c>
      <c r="S217" s="1">
        <f t="shared" si="33"/>
        <v>1.14419839201499</v>
      </c>
      <c r="T217" s="1">
        <f t="shared" si="30"/>
        <v>1.16527092991881</v>
      </c>
      <c r="U217" s="1">
        <f t="shared" si="35"/>
        <v>1.10845470709296</v>
      </c>
      <c r="V217" s="1">
        <f t="shared" si="31"/>
        <v>1.50313888291207</v>
      </c>
      <c r="W217" s="1">
        <f t="shared" si="32"/>
        <v>1.89274928082492</v>
      </c>
    </row>
    <row r="218" spans="1:23">
      <c r="A218" s="1" t="s">
        <v>235</v>
      </c>
      <c r="B218" s="1">
        <v>61349</v>
      </c>
      <c r="C218" s="1">
        <v>61349</v>
      </c>
      <c r="D218" s="1">
        <v>5970947</v>
      </c>
      <c r="E218" s="1">
        <v>155.447</v>
      </c>
      <c r="F218" s="1">
        <v>131.68</v>
      </c>
      <c r="G218" s="1">
        <v>128.462</v>
      </c>
      <c r="H218" s="1">
        <v>119</v>
      </c>
      <c r="I218" s="1">
        <v>94.655</v>
      </c>
      <c r="J218" s="1">
        <v>79.379</v>
      </c>
      <c r="K218" s="1">
        <v>5970947</v>
      </c>
      <c r="L218" s="1">
        <v>6006080</v>
      </c>
      <c r="M218" s="2">
        <f t="shared" si="28"/>
        <v>1.00588399126638</v>
      </c>
      <c r="N218" s="1">
        <v>7682444</v>
      </c>
      <c r="O218" s="2">
        <f t="shared" si="29"/>
        <v>1.28663744628783</v>
      </c>
      <c r="P218" s="1">
        <v>3369340</v>
      </c>
      <c r="Q218" s="2">
        <f t="shared" si="34"/>
        <v>0.564289048286645</v>
      </c>
      <c r="S218" s="1">
        <f t="shared" si="33"/>
        <v>1.18049058323208</v>
      </c>
      <c r="T218" s="1">
        <f t="shared" si="30"/>
        <v>1.2100621195373</v>
      </c>
      <c r="U218" s="1">
        <f t="shared" si="35"/>
        <v>1.30627731092437</v>
      </c>
      <c r="V218" s="1">
        <f t="shared" si="31"/>
        <v>1.64224816438646</v>
      </c>
      <c r="W218" s="1">
        <f t="shared" si="32"/>
        <v>1.95828871615919</v>
      </c>
    </row>
    <row r="219" spans="1:23">
      <c r="A219" s="1" t="s">
        <v>236</v>
      </c>
      <c r="B219" s="1">
        <v>268096</v>
      </c>
      <c r="C219" s="1">
        <v>268096</v>
      </c>
      <c r="D219" s="1">
        <v>18488476</v>
      </c>
      <c r="E219" s="1">
        <v>501.882</v>
      </c>
      <c r="F219" s="1">
        <v>438.88</v>
      </c>
      <c r="G219" s="1">
        <v>437.253</v>
      </c>
      <c r="H219" s="1">
        <v>462.026</v>
      </c>
      <c r="I219" s="1">
        <v>343.967</v>
      </c>
      <c r="J219" s="1">
        <v>266.278</v>
      </c>
      <c r="K219" s="1">
        <v>18488476</v>
      </c>
      <c r="L219" s="1">
        <v>18571858</v>
      </c>
      <c r="M219" s="2">
        <f t="shared" si="28"/>
        <v>1.00450994446487</v>
      </c>
      <c r="N219" s="1">
        <v>25116534</v>
      </c>
      <c r="O219" s="2">
        <f t="shared" si="29"/>
        <v>1.35849671979454</v>
      </c>
      <c r="P219" s="1">
        <v>10892200</v>
      </c>
      <c r="Q219" s="2">
        <f t="shared" si="34"/>
        <v>0.589134550624941</v>
      </c>
      <c r="S219" s="1">
        <f t="shared" si="33"/>
        <v>1.14355176813708</v>
      </c>
      <c r="T219" s="1">
        <f t="shared" si="30"/>
        <v>1.14780687611063</v>
      </c>
      <c r="U219" s="1">
        <f t="shared" si="35"/>
        <v>1.0862635436101</v>
      </c>
      <c r="V219" s="1">
        <f t="shared" si="31"/>
        <v>1.45909927405827</v>
      </c>
      <c r="W219" s="1">
        <f t="shared" si="32"/>
        <v>1.88480460270845</v>
      </c>
    </row>
    <row r="220" spans="1:23">
      <c r="A220" s="1" t="s">
        <v>237</v>
      </c>
      <c r="B220" s="1">
        <v>61349</v>
      </c>
      <c r="C220" s="1">
        <v>61349</v>
      </c>
      <c r="D220" s="1">
        <v>3381809</v>
      </c>
      <c r="E220" s="1">
        <v>85.692</v>
      </c>
      <c r="F220" s="1">
        <v>76.429</v>
      </c>
      <c r="G220" s="1">
        <v>77.26</v>
      </c>
      <c r="H220" s="1">
        <v>76.315</v>
      </c>
      <c r="I220" s="1">
        <v>49.945</v>
      </c>
      <c r="J220" s="1">
        <v>66.502</v>
      </c>
      <c r="K220" s="1">
        <v>3381809</v>
      </c>
      <c r="L220" s="1">
        <v>3397358</v>
      </c>
      <c r="M220" s="2">
        <f t="shared" si="28"/>
        <v>1.00459783506401</v>
      </c>
      <c r="N220" s="1">
        <v>4873732</v>
      </c>
      <c r="O220" s="2">
        <f t="shared" si="29"/>
        <v>1.44116122465816</v>
      </c>
      <c r="P220" s="1">
        <v>2068036</v>
      </c>
      <c r="Q220" s="2">
        <f t="shared" si="34"/>
        <v>0.61151768180876</v>
      </c>
      <c r="S220" s="1">
        <f t="shared" si="33"/>
        <v>1.12119745122925</v>
      </c>
      <c r="T220" s="1">
        <f t="shared" si="30"/>
        <v>1.10913797566658</v>
      </c>
      <c r="U220" s="1">
        <f t="shared" si="35"/>
        <v>1.12287230557557</v>
      </c>
      <c r="V220" s="1">
        <f t="shared" si="31"/>
        <v>1.71572730003003</v>
      </c>
      <c r="W220" s="1">
        <f t="shared" si="32"/>
        <v>1.28856274999248</v>
      </c>
    </row>
    <row r="221" spans="1:23">
      <c r="A221" s="1" t="s">
        <v>238</v>
      </c>
      <c r="B221" s="1">
        <v>66917</v>
      </c>
      <c r="C221" s="1">
        <v>66917</v>
      </c>
      <c r="D221" s="1">
        <v>1703365</v>
      </c>
      <c r="E221" s="1">
        <v>33.359</v>
      </c>
      <c r="F221" s="1">
        <v>28.966</v>
      </c>
      <c r="G221" s="1">
        <v>29.389</v>
      </c>
      <c r="H221" s="1">
        <v>31.21</v>
      </c>
      <c r="I221" s="1">
        <v>25.534</v>
      </c>
      <c r="J221" s="1">
        <v>22.273</v>
      </c>
      <c r="K221" s="1">
        <v>1703365</v>
      </c>
      <c r="L221" s="1">
        <v>1704168</v>
      </c>
      <c r="M221" s="2">
        <f t="shared" si="28"/>
        <v>1.00047141980726</v>
      </c>
      <c r="N221" s="1">
        <v>2265454</v>
      </c>
      <c r="O221" s="2">
        <f t="shared" si="29"/>
        <v>1.32998740727912</v>
      </c>
      <c r="P221" s="1">
        <v>974940</v>
      </c>
      <c r="Q221" s="2">
        <f t="shared" si="34"/>
        <v>0.572361179195299</v>
      </c>
      <c r="S221" s="1">
        <f t="shared" si="33"/>
        <v>1.15166056756197</v>
      </c>
      <c r="T221" s="1">
        <f t="shared" si="30"/>
        <v>1.13508455544592</v>
      </c>
      <c r="U221" s="1">
        <f t="shared" si="35"/>
        <v>1.06885613585389</v>
      </c>
      <c r="V221" s="1">
        <f t="shared" si="31"/>
        <v>1.3064541395786</v>
      </c>
      <c r="W221" s="1">
        <f t="shared" si="32"/>
        <v>1.49773268082432</v>
      </c>
    </row>
    <row r="222" spans="1:23">
      <c r="A222" s="1" t="s">
        <v>239</v>
      </c>
      <c r="B222" s="1">
        <v>112985</v>
      </c>
      <c r="C222" s="1">
        <v>112985</v>
      </c>
      <c r="D222" s="1">
        <v>7892195</v>
      </c>
      <c r="E222" s="1">
        <v>200.756</v>
      </c>
      <c r="F222" s="1">
        <v>170.263</v>
      </c>
      <c r="G222" s="1">
        <v>170.047</v>
      </c>
      <c r="H222" s="1">
        <v>173.409</v>
      </c>
      <c r="I222" s="1">
        <v>141.542</v>
      </c>
      <c r="J222" s="1">
        <v>109.625</v>
      </c>
      <c r="K222" s="1">
        <v>7892195</v>
      </c>
      <c r="L222" s="1">
        <v>7922706</v>
      </c>
      <c r="M222" s="2">
        <f t="shared" si="28"/>
        <v>1.00386597138059</v>
      </c>
      <c r="N222" s="1">
        <v>10724066</v>
      </c>
      <c r="O222" s="2">
        <f t="shared" si="29"/>
        <v>1.35881918781784</v>
      </c>
      <c r="P222" s="1">
        <v>4643356</v>
      </c>
      <c r="Q222" s="2">
        <f t="shared" si="34"/>
        <v>0.588347855064402</v>
      </c>
      <c r="S222" s="1">
        <f t="shared" si="33"/>
        <v>1.1790935200249</v>
      </c>
      <c r="T222" s="1">
        <f t="shared" si="30"/>
        <v>1.18059124830194</v>
      </c>
      <c r="U222" s="1">
        <f t="shared" si="35"/>
        <v>1.15770231072205</v>
      </c>
      <c r="V222" s="1">
        <f t="shared" si="31"/>
        <v>1.4183493238756</v>
      </c>
      <c r="W222" s="1">
        <f t="shared" si="32"/>
        <v>1.8312976054732</v>
      </c>
    </row>
    <row r="223" spans="1:23">
      <c r="A223" s="1" t="s">
        <v>240</v>
      </c>
      <c r="B223" s="1">
        <v>112985</v>
      </c>
      <c r="C223" s="1">
        <v>112985</v>
      </c>
      <c r="D223" s="1">
        <v>8451395</v>
      </c>
      <c r="E223" s="1">
        <v>224.637</v>
      </c>
      <c r="F223" s="1">
        <v>194.636</v>
      </c>
      <c r="G223" s="1">
        <v>193.442</v>
      </c>
      <c r="H223" s="1">
        <v>200.488</v>
      </c>
      <c r="I223" s="1">
        <v>151.647</v>
      </c>
      <c r="J223" s="1">
        <v>115.245</v>
      </c>
      <c r="K223" s="1">
        <v>8451395</v>
      </c>
      <c r="L223" s="1">
        <v>8485824</v>
      </c>
      <c r="M223" s="2">
        <f t="shared" si="28"/>
        <v>1.00407376533697</v>
      </c>
      <c r="N223" s="1">
        <v>11320018</v>
      </c>
      <c r="O223" s="2">
        <f t="shared" si="29"/>
        <v>1.33942597642164</v>
      </c>
      <c r="P223" s="1">
        <v>4922620</v>
      </c>
      <c r="Q223" s="2">
        <f t="shared" si="34"/>
        <v>0.582462421884198</v>
      </c>
      <c r="S223" s="1">
        <f t="shared" si="33"/>
        <v>1.15413900819992</v>
      </c>
      <c r="T223" s="1">
        <f t="shared" si="30"/>
        <v>1.1612628074565</v>
      </c>
      <c r="U223" s="1">
        <f t="shared" si="35"/>
        <v>1.12045109931766</v>
      </c>
      <c r="V223" s="1">
        <f t="shared" si="31"/>
        <v>1.48131515954816</v>
      </c>
      <c r="W223" s="1">
        <f t="shared" si="32"/>
        <v>1.94921254718209</v>
      </c>
    </row>
    <row r="224" spans="1:23">
      <c r="A224" s="1" t="s">
        <v>241</v>
      </c>
      <c r="B224" s="1">
        <v>1437960</v>
      </c>
      <c r="C224" s="1">
        <v>1437960</v>
      </c>
      <c r="D224" s="1">
        <v>63156690</v>
      </c>
      <c r="E224" s="1">
        <v>1664.94</v>
      </c>
      <c r="F224" s="1">
        <v>1431.65</v>
      </c>
      <c r="G224" s="1">
        <v>1471.77</v>
      </c>
      <c r="H224" s="1">
        <v>1360.54</v>
      </c>
      <c r="I224" s="1">
        <v>922.629</v>
      </c>
      <c r="J224" s="1">
        <v>895.215</v>
      </c>
      <c r="K224" s="1">
        <v>63156690</v>
      </c>
      <c r="L224" s="1">
        <v>63190092</v>
      </c>
      <c r="M224" s="2">
        <f t="shared" si="28"/>
        <v>1.00052887508829</v>
      </c>
      <c r="N224" s="1">
        <v>72615690</v>
      </c>
      <c r="O224" s="2">
        <f t="shared" si="29"/>
        <v>1.14977035686956</v>
      </c>
      <c r="P224" s="1">
        <v>33914462</v>
      </c>
      <c r="Q224" s="2">
        <f t="shared" si="34"/>
        <v>0.536989224736129</v>
      </c>
      <c r="S224" s="1">
        <f t="shared" si="33"/>
        <v>1.16295183878741</v>
      </c>
      <c r="T224" s="1">
        <f t="shared" si="30"/>
        <v>1.13125012739762</v>
      </c>
      <c r="U224" s="1">
        <f t="shared" si="35"/>
        <v>1.22373469357755</v>
      </c>
      <c r="V224" s="1">
        <f t="shared" si="31"/>
        <v>1.80456066306175</v>
      </c>
      <c r="W224" s="1">
        <f t="shared" si="32"/>
        <v>1.85982138368995</v>
      </c>
    </row>
    <row r="225" spans="1:23">
      <c r="A225" s="1" t="s">
        <v>242</v>
      </c>
      <c r="B225" s="1">
        <v>48962</v>
      </c>
      <c r="C225" s="1">
        <v>48962</v>
      </c>
      <c r="D225" s="1">
        <v>512084</v>
      </c>
      <c r="E225" s="1">
        <v>10.278</v>
      </c>
      <c r="F225" s="1">
        <v>10.136</v>
      </c>
      <c r="G225" s="1">
        <v>9.114</v>
      </c>
      <c r="H225" s="1">
        <v>9.953</v>
      </c>
      <c r="I225" s="1">
        <v>8.631</v>
      </c>
      <c r="J225" s="1">
        <v>8.794</v>
      </c>
      <c r="K225" s="1">
        <v>512084</v>
      </c>
      <c r="L225" s="1">
        <v>512098</v>
      </c>
      <c r="M225" s="2">
        <f t="shared" si="28"/>
        <v>1.00002733926465</v>
      </c>
      <c r="N225" s="1">
        <v>661636</v>
      </c>
      <c r="O225" s="2">
        <f t="shared" si="29"/>
        <v>1.29204583622999</v>
      </c>
      <c r="P225" s="1">
        <v>330626</v>
      </c>
      <c r="Q225" s="2">
        <f t="shared" si="34"/>
        <v>0.645647979628342</v>
      </c>
      <c r="S225" s="1">
        <f t="shared" si="33"/>
        <v>1.01400947119179</v>
      </c>
      <c r="T225" s="1">
        <f t="shared" si="30"/>
        <v>1.12771560236998</v>
      </c>
      <c r="U225" s="1">
        <f t="shared" si="35"/>
        <v>1.03265347131518</v>
      </c>
      <c r="V225" s="1">
        <f t="shared" si="31"/>
        <v>1.19082377476538</v>
      </c>
      <c r="W225" s="1">
        <f t="shared" si="32"/>
        <v>1.1687514214237</v>
      </c>
    </row>
    <row r="226" spans="1:23">
      <c r="A226" s="1" t="s">
        <v>243</v>
      </c>
      <c r="B226" s="1">
        <v>589446</v>
      </c>
      <c r="C226" s="1">
        <v>589446</v>
      </c>
      <c r="D226" s="1">
        <v>21758924</v>
      </c>
      <c r="E226" s="1">
        <v>833.508</v>
      </c>
      <c r="F226" s="1">
        <v>878.641</v>
      </c>
      <c r="G226" s="1">
        <v>932.793</v>
      </c>
      <c r="H226" s="1">
        <v>993.513</v>
      </c>
      <c r="I226" s="1">
        <v>893.447</v>
      </c>
      <c r="J226" s="1">
        <v>637.259</v>
      </c>
      <c r="K226" s="1">
        <v>21758924</v>
      </c>
      <c r="L226" s="1">
        <v>21760036</v>
      </c>
      <c r="M226" s="2">
        <f t="shared" si="28"/>
        <v>1.00005110546827</v>
      </c>
      <c r="N226" s="1">
        <v>36081744</v>
      </c>
      <c r="O226" s="2">
        <f t="shared" si="29"/>
        <v>1.65825038039565</v>
      </c>
      <c r="P226" s="1">
        <v>16543450</v>
      </c>
      <c r="Q226" s="2">
        <f t="shared" si="34"/>
        <v>0.760306437947023</v>
      </c>
      <c r="S226" s="1">
        <f t="shared" si="33"/>
        <v>0.948633173275547</v>
      </c>
      <c r="T226" s="1">
        <f t="shared" si="30"/>
        <v>0.893561594051413</v>
      </c>
      <c r="U226" s="1">
        <f t="shared" si="35"/>
        <v>0.838950270404112</v>
      </c>
      <c r="V226" s="1">
        <f t="shared" si="31"/>
        <v>0.932912640593119</v>
      </c>
      <c r="W226" s="1">
        <f t="shared" si="32"/>
        <v>1.30795798882401</v>
      </c>
    </row>
    <row r="227" spans="1:23">
      <c r="A227" s="1" t="s">
        <v>244</v>
      </c>
      <c r="B227" s="1">
        <v>17361</v>
      </c>
      <c r="C227" s="1">
        <v>17361</v>
      </c>
      <c r="D227" s="1">
        <v>1021159</v>
      </c>
      <c r="E227" s="1">
        <v>20.259</v>
      </c>
      <c r="F227" s="1">
        <v>15.9</v>
      </c>
      <c r="G227" s="1">
        <v>16.44</v>
      </c>
      <c r="H227" s="1">
        <v>14.533</v>
      </c>
      <c r="I227" s="1">
        <v>11.945</v>
      </c>
      <c r="J227" s="1">
        <v>11.853</v>
      </c>
      <c r="K227" s="1">
        <v>1021159</v>
      </c>
      <c r="L227" s="1">
        <v>1024670</v>
      </c>
      <c r="M227" s="2">
        <f t="shared" si="28"/>
        <v>1.00343825006684</v>
      </c>
      <c r="N227" s="1">
        <v>1171394</v>
      </c>
      <c r="O227" s="2">
        <f t="shared" si="29"/>
        <v>1.1471220446571</v>
      </c>
      <c r="P227" s="1">
        <v>540566</v>
      </c>
      <c r="Q227" s="2">
        <f t="shared" si="34"/>
        <v>0.52936516252611</v>
      </c>
      <c r="S227" s="1">
        <f t="shared" si="33"/>
        <v>1.27415094339623</v>
      </c>
      <c r="T227" s="1">
        <f t="shared" si="30"/>
        <v>1.23229927007299</v>
      </c>
      <c r="U227" s="1">
        <f t="shared" si="35"/>
        <v>1.39399986238216</v>
      </c>
      <c r="V227" s="1">
        <f t="shared" si="31"/>
        <v>1.6960234407702</v>
      </c>
      <c r="W227" s="1">
        <f t="shared" si="32"/>
        <v>1.70918754745634</v>
      </c>
    </row>
    <row r="228" spans="1:23">
      <c r="A228" s="1" t="s">
        <v>245</v>
      </c>
      <c r="B228" s="1">
        <v>17361</v>
      </c>
      <c r="C228" s="1">
        <v>17361</v>
      </c>
      <c r="D228" s="1">
        <v>1021159</v>
      </c>
      <c r="E228" s="1">
        <v>20.238</v>
      </c>
      <c r="F228" s="1">
        <v>15.912</v>
      </c>
      <c r="G228" s="1">
        <v>16.44</v>
      </c>
      <c r="H228" s="1">
        <v>14.472</v>
      </c>
      <c r="I228" s="1">
        <v>12.013</v>
      </c>
      <c r="J228" s="1">
        <v>11.777</v>
      </c>
      <c r="K228" s="1">
        <v>1021159</v>
      </c>
      <c r="L228" s="1">
        <v>1024670</v>
      </c>
      <c r="M228" s="2">
        <f t="shared" si="28"/>
        <v>1.00343825006684</v>
      </c>
      <c r="N228" s="1">
        <v>1171394</v>
      </c>
      <c r="O228" s="2">
        <f t="shared" si="29"/>
        <v>1.1471220446571</v>
      </c>
      <c r="P228" s="1">
        <v>540566</v>
      </c>
      <c r="Q228" s="2">
        <f t="shared" si="34"/>
        <v>0.52936516252611</v>
      </c>
      <c r="S228" s="1">
        <f t="shared" si="33"/>
        <v>1.27187028657617</v>
      </c>
      <c r="T228" s="1">
        <f t="shared" si="30"/>
        <v>1.23102189781022</v>
      </c>
      <c r="U228" s="1">
        <f t="shared" si="35"/>
        <v>1.39842454394693</v>
      </c>
      <c r="V228" s="1">
        <f t="shared" si="31"/>
        <v>1.68467493548656</v>
      </c>
      <c r="W228" s="1">
        <f t="shared" si="32"/>
        <v>1.71843423622315</v>
      </c>
    </row>
    <row r="229" spans="1:23">
      <c r="A229" s="1" t="s">
        <v>246</v>
      </c>
      <c r="B229" s="1">
        <v>17361</v>
      </c>
      <c r="C229" s="1">
        <v>17361</v>
      </c>
      <c r="D229" s="1">
        <v>340431</v>
      </c>
      <c r="E229" s="1">
        <v>6.426</v>
      </c>
      <c r="F229" s="1">
        <v>5.979</v>
      </c>
      <c r="G229" s="1">
        <v>5.356</v>
      </c>
      <c r="H229" s="1">
        <v>8.823</v>
      </c>
      <c r="I229" s="1">
        <v>5.491</v>
      </c>
      <c r="J229" s="1">
        <v>5.171</v>
      </c>
      <c r="K229" s="1">
        <v>340431</v>
      </c>
      <c r="L229" s="1">
        <v>341602</v>
      </c>
      <c r="M229" s="2">
        <f t="shared" si="28"/>
        <v>1.0034397572489</v>
      </c>
      <c r="N229" s="1">
        <v>680862</v>
      </c>
      <c r="O229" s="2">
        <f t="shared" si="29"/>
        <v>2</v>
      </c>
      <c r="P229" s="1">
        <v>222408</v>
      </c>
      <c r="Q229" s="2">
        <f t="shared" si="34"/>
        <v>0.653313006159839</v>
      </c>
      <c r="S229" s="1">
        <f t="shared" si="33"/>
        <v>1.07476166583041</v>
      </c>
      <c r="T229" s="1">
        <f t="shared" si="30"/>
        <v>1.19977595220314</v>
      </c>
      <c r="U229" s="1">
        <f t="shared" si="35"/>
        <v>0.728323699421965</v>
      </c>
      <c r="V229" s="1">
        <f t="shared" si="31"/>
        <v>1.1702786377709</v>
      </c>
      <c r="W229" s="1">
        <f t="shared" si="32"/>
        <v>1.24269967124347</v>
      </c>
    </row>
    <row r="230" spans="1:23">
      <c r="A230" s="1" t="s">
        <v>247</v>
      </c>
      <c r="B230" s="1">
        <v>67024</v>
      </c>
      <c r="C230" s="1">
        <v>67024</v>
      </c>
      <c r="D230" s="1">
        <v>2216736</v>
      </c>
      <c r="E230" s="1">
        <v>50.027</v>
      </c>
      <c r="F230" s="1">
        <v>42.747</v>
      </c>
      <c r="G230" s="1">
        <v>41.262</v>
      </c>
      <c r="H230" s="1">
        <v>64.331</v>
      </c>
      <c r="I230" s="1">
        <v>36.58</v>
      </c>
      <c r="J230" s="1">
        <v>37.962</v>
      </c>
      <c r="K230" s="1">
        <v>2216736</v>
      </c>
      <c r="L230" s="1">
        <v>2217938</v>
      </c>
      <c r="M230" s="2">
        <f t="shared" si="28"/>
        <v>1.00054223867885</v>
      </c>
      <c r="N230" s="1">
        <v>3682634</v>
      </c>
      <c r="O230" s="2">
        <f t="shared" si="29"/>
        <v>1.66128668456686</v>
      </c>
      <c r="P230" s="1">
        <v>1515578</v>
      </c>
      <c r="Q230" s="2">
        <f t="shared" si="34"/>
        <v>0.683698013656114</v>
      </c>
      <c r="S230" s="1">
        <f t="shared" si="33"/>
        <v>1.17030434884319</v>
      </c>
      <c r="T230" s="1">
        <f t="shared" si="30"/>
        <v>1.2124230526877</v>
      </c>
      <c r="U230" s="1">
        <f t="shared" si="35"/>
        <v>0.777649966579099</v>
      </c>
      <c r="V230" s="1">
        <f t="shared" si="31"/>
        <v>1.36760524876982</v>
      </c>
      <c r="W230" s="1">
        <f t="shared" si="32"/>
        <v>1.31781781781782</v>
      </c>
    </row>
    <row r="231" spans="1:23">
      <c r="A231" s="1" t="s">
        <v>248</v>
      </c>
      <c r="B231" s="1">
        <v>10260</v>
      </c>
      <c r="C231" s="1">
        <v>10260</v>
      </c>
      <c r="D231" s="1">
        <v>92703</v>
      </c>
      <c r="E231" s="1">
        <v>1.658</v>
      </c>
      <c r="F231" s="1">
        <v>1.648</v>
      </c>
      <c r="G231" s="1">
        <v>1.62</v>
      </c>
      <c r="H231" s="1">
        <v>1.858</v>
      </c>
      <c r="I231" s="1">
        <v>1.184</v>
      </c>
      <c r="J231" s="1">
        <v>1.624</v>
      </c>
      <c r="K231" s="1">
        <v>92703</v>
      </c>
      <c r="L231" s="1">
        <v>101856</v>
      </c>
      <c r="M231" s="2">
        <f t="shared" si="28"/>
        <v>1.09873466878095</v>
      </c>
      <c r="N231" s="1">
        <v>142500</v>
      </c>
      <c r="O231" s="2">
        <f t="shared" si="29"/>
        <v>1.53716708197146</v>
      </c>
      <c r="P231" s="1">
        <v>55274</v>
      </c>
      <c r="Q231" s="2">
        <f t="shared" si="34"/>
        <v>0.596248233606248</v>
      </c>
      <c r="S231" s="1">
        <f t="shared" si="33"/>
        <v>1.00606796116505</v>
      </c>
      <c r="T231" s="1">
        <f t="shared" si="30"/>
        <v>1.02345679012346</v>
      </c>
      <c r="U231" s="1">
        <f t="shared" si="35"/>
        <v>0.892357373519914</v>
      </c>
      <c r="V231" s="1">
        <f t="shared" si="31"/>
        <v>1.40033783783784</v>
      </c>
      <c r="W231" s="1">
        <f t="shared" si="32"/>
        <v>1.02093596059113</v>
      </c>
    </row>
    <row r="232" spans="1:23">
      <c r="A232" s="1" t="s">
        <v>249</v>
      </c>
      <c r="B232" s="1">
        <v>15561</v>
      </c>
      <c r="C232" s="1">
        <v>15561</v>
      </c>
      <c r="D232" s="1">
        <v>149532</v>
      </c>
      <c r="E232" s="1">
        <v>2.836</v>
      </c>
      <c r="F232" s="1">
        <v>2.796</v>
      </c>
      <c r="G232" s="1">
        <v>2.708</v>
      </c>
      <c r="H232" s="1">
        <v>3.07</v>
      </c>
      <c r="I232" s="1">
        <v>2.048</v>
      </c>
      <c r="J232" s="1">
        <v>2.869</v>
      </c>
      <c r="K232" s="1">
        <v>149532</v>
      </c>
      <c r="L232" s="1">
        <v>163434</v>
      </c>
      <c r="M232" s="2">
        <f t="shared" si="28"/>
        <v>1.09297006660782</v>
      </c>
      <c r="N232" s="1">
        <v>225700</v>
      </c>
      <c r="O232" s="2">
        <f t="shared" si="29"/>
        <v>1.50937591953562</v>
      </c>
      <c r="P232" s="1">
        <v>87878</v>
      </c>
      <c r="Q232" s="2">
        <f t="shared" si="34"/>
        <v>0.587686916512853</v>
      </c>
      <c r="S232" s="1">
        <f t="shared" si="33"/>
        <v>1.01430615164521</v>
      </c>
      <c r="T232" s="1">
        <f t="shared" si="30"/>
        <v>1.04726735598227</v>
      </c>
      <c r="U232" s="1">
        <f t="shared" si="35"/>
        <v>0.923778501628664</v>
      </c>
      <c r="V232" s="1">
        <f t="shared" si="31"/>
        <v>1.384765625</v>
      </c>
      <c r="W232" s="1">
        <f t="shared" si="32"/>
        <v>0.988497734402231</v>
      </c>
    </row>
    <row r="233" spans="1:23">
      <c r="A233" s="1" t="s">
        <v>250</v>
      </c>
      <c r="B233" s="1">
        <v>16011</v>
      </c>
      <c r="C233" s="1">
        <v>16011</v>
      </c>
      <c r="D233" s="1">
        <v>155246</v>
      </c>
      <c r="E233" s="1">
        <v>2.849</v>
      </c>
      <c r="F233" s="1">
        <v>2.856</v>
      </c>
      <c r="G233" s="1">
        <v>2.851</v>
      </c>
      <c r="H233" s="1">
        <v>3.164</v>
      </c>
      <c r="I233" s="1">
        <v>2.152</v>
      </c>
      <c r="J233" s="1">
        <v>3.016</v>
      </c>
      <c r="K233" s="1">
        <v>155246</v>
      </c>
      <c r="L233" s="1">
        <v>169546</v>
      </c>
      <c r="M233" s="2">
        <f t="shared" si="28"/>
        <v>1.09211187405795</v>
      </c>
      <c r="N233" s="1">
        <v>233896</v>
      </c>
      <c r="O233" s="2">
        <f t="shared" si="29"/>
        <v>1.50661530731871</v>
      </c>
      <c r="P233" s="1">
        <v>90908</v>
      </c>
      <c r="Q233" s="2">
        <f t="shared" si="34"/>
        <v>0.585573863416771</v>
      </c>
      <c r="S233" s="1">
        <f t="shared" si="33"/>
        <v>0.997549019607843</v>
      </c>
      <c r="T233" s="1">
        <f t="shared" si="30"/>
        <v>0.999298491757278</v>
      </c>
      <c r="U233" s="1">
        <f t="shared" si="35"/>
        <v>0.900442477876106</v>
      </c>
      <c r="V233" s="1">
        <f t="shared" si="31"/>
        <v>1.32388475836431</v>
      </c>
      <c r="W233" s="1">
        <f t="shared" si="32"/>
        <v>0.944628647214854</v>
      </c>
    </row>
    <row r="234" spans="1:23">
      <c r="A234" s="1" t="s">
        <v>251</v>
      </c>
      <c r="B234" s="1">
        <v>10299</v>
      </c>
      <c r="C234" s="1">
        <v>10299</v>
      </c>
      <c r="D234" s="1">
        <v>151736</v>
      </c>
      <c r="E234" s="1">
        <v>2.858</v>
      </c>
      <c r="F234" s="1">
        <v>2.96</v>
      </c>
      <c r="G234" s="1">
        <v>2.456</v>
      </c>
      <c r="H234" s="1">
        <v>3.533</v>
      </c>
      <c r="I234" s="1">
        <v>3.68</v>
      </c>
      <c r="J234" s="1">
        <v>3.527</v>
      </c>
      <c r="K234" s="1">
        <v>151736</v>
      </c>
      <c r="L234" s="1">
        <v>152356</v>
      </c>
      <c r="M234" s="2">
        <f t="shared" si="28"/>
        <v>1.004086044182</v>
      </c>
      <c r="N234" s="1">
        <v>246016</v>
      </c>
      <c r="O234" s="2">
        <f t="shared" si="29"/>
        <v>1.62134233141773</v>
      </c>
      <c r="P234" s="1">
        <v>123330</v>
      </c>
      <c r="Q234" s="2">
        <f t="shared" si="34"/>
        <v>0.812793272525966</v>
      </c>
      <c r="S234" s="1">
        <f t="shared" si="33"/>
        <v>0.965540540540541</v>
      </c>
      <c r="T234" s="1">
        <f t="shared" si="30"/>
        <v>1.16368078175896</v>
      </c>
      <c r="U234" s="1">
        <f t="shared" si="35"/>
        <v>0.808944240022644</v>
      </c>
      <c r="V234" s="1">
        <f t="shared" si="31"/>
        <v>0.776630434782609</v>
      </c>
      <c r="W234" s="1">
        <f t="shared" si="32"/>
        <v>0.810320385596825</v>
      </c>
    </row>
    <row r="235" spans="1:23">
      <c r="A235" s="1" t="s">
        <v>252</v>
      </c>
      <c r="B235" s="1">
        <v>392257</v>
      </c>
      <c r="C235" s="1">
        <v>392257</v>
      </c>
      <c r="D235" s="1">
        <v>2741935</v>
      </c>
      <c r="E235" s="1">
        <v>79.115</v>
      </c>
      <c r="F235" s="1">
        <v>88.922</v>
      </c>
      <c r="G235" s="1">
        <v>84.861</v>
      </c>
      <c r="H235" s="1">
        <v>109.084</v>
      </c>
      <c r="I235" s="1">
        <v>81.104</v>
      </c>
      <c r="J235" s="1">
        <v>65.265</v>
      </c>
      <c r="K235" s="1">
        <v>2741935</v>
      </c>
      <c r="L235" s="1">
        <v>2741966</v>
      </c>
      <c r="M235" s="2">
        <f t="shared" si="28"/>
        <v>1.00001130588435</v>
      </c>
      <c r="N235" s="1">
        <v>4937316</v>
      </c>
      <c r="O235" s="2">
        <f t="shared" si="29"/>
        <v>1.80066850600032</v>
      </c>
      <c r="P235" s="1">
        <v>2212502</v>
      </c>
      <c r="Q235" s="2">
        <f t="shared" si="34"/>
        <v>0.806912636513995</v>
      </c>
      <c r="S235" s="1">
        <f t="shared" si="33"/>
        <v>0.889712332156272</v>
      </c>
      <c r="T235" s="1">
        <f t="shared" si="30"/>
        <v>0.932289273046511</v>
      </c>
      <c r="U235" s="1">
        <f t="shared" si="35"/>
        <v>0.725266766895237</v>
      </c>
      <c r="V235" s="1">
        <f t="shared" si="31"/>
        <v>0.975475932136516</v>
      </c>
      <c r="W235" s="1">
        <f t="shared" si="32"/>
        <v>1.21221175208764</v>
      </c>
    </row>
    <row r="236" spans="1:23">
      <c r="A236" s="1" t="s">
        <v>253</v>
      </c>
      <c r="B236" s="1">
        <v>32226</v>
      </c>
      <c r="C236" s="1">
        <v>32226</v>
      </c>
      <c r="D236" s="1">
        <v>428444</v>
      </c>
      <c r="E236" s="1">
        <v>10.439</v>
      </c>
      <c r="F236" s="1">
        <v>11.155</v>
      </c>
      <c r="G236" s="1">
        <v>10.13</v>
      </c>
      <c r="H236" s="1">
        <v>13.549</v>
      </c>
      <c r="I236" s="1">
        <v>13.564</v>
      </c>
      <c r="J236" s="1">
        <v>11.942</v>
      </c>
      <c r="K236" s="1">
        <v>428444</v>
      </c>
      <c r="L236" s="1">
        <v>428916</v>
      </c>
      <c r="M236" s="2">
        <f t="shared" si="28"/>
        <v>1.00110166089384</v>
      </c>
      <c r="N236" s="1">
        <v>730766</v>
      </c>
      <c r="O236" s="2">
        <f t="shared" si="29"/>
        <v>1.70562780666785</v>
      </c>
      <c r="P236" s="1">
        <v>339392</v>
      </c>
      <c r="Q236" s="2">
        <f t="shared" si="34"/>
        <v>0.792150199325933</v>
      </c>
      <c r="S236" s="1">
        <f t="shared" si="33"/>
        <v>0.935813536530704</v>
      </c>
      <c r="T236" s="1">
        <f t="shared" si="30"/>
        <v>1.03050345508391</v>
      </c>
      <c r="U236" s="1">
        <f t="shared" si="35"/>
        <v>0.770462764779689</v>
      </c>
      <c r="V236" s="1">
        <f t="shared" si="31"/>
        <v>0.769610734296668</v>
      </c>
      <c r="W236" s="1">
        <f t="shared" si="32"/>
        <v>0.874141684809915</v>
      </c>
    </row>
    <row r="237" spans="1:23">
      <c r="A237" s="1" t="s">
        <v>254</v>
      </c>
      <c r="B237" s="1">
        <v>8361</v>
      </c>
      <c r="C237" s="1">
        <v>8361</v>
      </c>
      <c r="D237" s="1">
        <v>31502</v>
      </c>
      <c r="E237" s="1">
        <v>1.024</v>
      </c>
      <c r="F237" s="1">
        <v>1.306</v>
      </c>
      <c r="G237" s="1">
        <v>0.604</v>
      </c>
      <c r="H237" s="1">
        <v>1.136</v>
      </c>
      <c r="I237" s="1">
        <v>1.259</v>
      </c>
      <c r="J237" s="1">
        <v>1.01</v>
      </c>
      <c r="K237" s="1">
        <v>31502</v>
      </c>
      <c r="L237" s="1">
        <v>31694</v>
      </c>
      <c r="M237" s="2">
        <f t="shared" si="28"/>
        <v>1.00609485112056</v>
      </c>
      <c r="N237" s="1">
        <v>55070</v>
      </c>
      <c r="O237" s="2">
        <f t="shared" si="29"/>
        <v>1.7481429750492</v>
      </c>
      <c r="P237" s="1">
        <v>34656</v>
      </c>
      <c r="Q237" s="2">
        <f t="shared" si="34"/>
        <v>1.10012062726176</v>
      </c>
      <c r="S237" s="1">
        <f t="shared" si="33"/>
        <v>0.784073506891271</v>
      </c>
      <c r="T237" s="1">
        <f t="shared" si="30"/>
        <v>1.6953642384106</v>
      </c>
      <c r="U237" s="1">
        <f t="shared" si="35"/>
        <v>0.901408450704225</v>
      </c>
      <c r="V237" s="1">
        <f t="shared" si="31"/>
        <v>0.813343923749007</v>
      </c>
      <c r="W237" s="1">
        <f t="shared" si="32"/>
        <v>1.01386138613861</v>
      </c>
    </row>
    <row r="238" spans="1:23">
      <c r="A238" s="1" t="s">
        <v>255</v>
      </c>
      <c r="B238" s="1">
        <v>220542</v>
      </c>
      <c r="C238" s="1">
        <v>220542</v>
      </c>
      <c r="D238" s="1">
        <v>10768436</v>
      </c>
      <c r="E238" s="1">
        <v>290.108</v>
      </c>
      <c r="F238" s="1">
        <v>257.727</v>
      </c>
      <c r="G238" s="1">
        <v>257.132</v>
      </c>
      <c r="H238" s="1">
        <v>215.899</v>
      </c>
      <c r="I238" s="1">
        <v>178.066</v>
      </c>
      <c r="J238" s="1">
        <v>153.282</v>
      </c>
      <c r="K238" s="1">
        <v>10768436</v>
      </c>
      <c r="L238" s="1">
        <v>10773980</v>
      </c>
      <c r="M238" s="2">
        <f t="shared" si="28"/>
        <v>1.00051483799504</v>
      </c>
      <c r="N238" s="1">
        <v>11550168</v>
      </c>
      <c r="O238" s="2">
        <f t="shared" si="29"/>
        <v>1.0725947574931</v>
      </c>
      <c r="P238" s="1">
        <v>5628208</v>
      </c>
      <c r="Q238" s="2">
        <f t="shared" si="34"/>
        <v>0.522657886437733</v>
      </c>
      <c r="S238" s="1">
        <f t="shared" si="33"/>
        <v>1.12564069732702</v>
      </c>
      <c r="T238" s="1">
        <f t="shared" si="30"/>
        <v>1.1282454148064</v>
      </c>
      <c r="U238" s="1">
        <f t="shared" si="35"/>
        <v>1.343720906535</v>
      </c>
      <c r="V238" s="1">
        <f t="shared" si="31"/>
        <v>1.62921613334382</v>
      </c>
      <c r="W238" s="1">
        <f t="shared" si="32"/>
        <v>1.89264231938519</v>
      </c>
    </row>
    <row r="239" spans="1:23">
      <c r="A239" s="1" t="s">
        <v>256</v>
      </c>
      <c r="B239" s="1">
        <v>1498023</v>
      </c>
      <c r="C239" s="1">
        <v>1498023</v>
      </c>
      <c r="D239" s="1">
        <v>60917445</v>
      </c>
      <c r="E239" s="1">
        <v>1601.17</v>
      </c>
      <c r="F239" s="1">
        <v>1408.88</v>
      </c>
      <c r="G239" s="1">
        <v>1418.46</v>
      </c>
      <c r="H239" s="1">
        <v>1343.69</v>
      </c>
      <c r="I239" s="1">
        <v>1022.58</v>
      </c>
      <c r="J239" s="1">
        <v>870.19</v>
      </c>
      <c r="K239" s="1">
        <v>60917445</v>
      </c>
      <c r="L239" s="1">
        <v>60990516</v>
      </c>
      <c r="M239" s="2">
        <f t="shared" si="28"/>
        <v>1.00119950861367</v>
      </c>
      <c r="N239" s="1">
        <v>71355420</v>
      </c>
      <c r="O239" s="2">
        <f t="shared" si="29"/>
        <v>1.17134623751866</v>
      </c>
      <c r="P239" s="1">
        <v>32961876</v>
      </c>
      <c r="Q239" s="2">
        <f t="shared" si="34"/>
        <v>0.541090914105147</v>
      </c>
      <c r="S239" s="1">
        <f t="shared" si="33"/>
        <v>1.13648429958549</v>
      </c>
      <c r="T239" s="1">
        <f t="shared" si="30"/>
        <v>1.12880870803548</v>
      </c>
      <c r="U239" s="1">
        <f t="shared" si="35"/>
        <v>1.19162157938215</v>
      </c>
      <c r="V239" s="1">
        <f t="shared" si="31"/>
        <v>1.56581392164916</v>
      </c>
      <c r="W239" s="1">
        <f t="shared" si="32"/>
        <v>1.84002344315609</v>
      </c>
    </row>
    <row r="240" spans="1:23">
      <c r="A240" s="1" t="s">
        <v>257</v>
      </c>
      <c r="B240" s="1">
        <v>226340</v>
      </c>
      <c r="C240" s="1">
        <v>226340</v>
      </c>
      <c r="D240" s="1">
        <v>904522</v>
      </c>
      <c r="E240" s="1">
        <v>35.404</v>
      </c>
      <c r="F240" s="1">
        <v>30.472</v>
      </c>
      <c r="G240" s="1">
        <v>28.021</v>
      </c>
      <c r="H240" s="1">
        <v>43.451</v>
      </c>
      <c r="I240" s="1">
        <v>22.972</v>
      </c>
      <c r="J240" s="1">
        <v>27.584</v>
      </c>
      <c r="K240" s="1">
        <v>904522</v>
      </c>
      <c r="L240" s="1">
        <v>919464</v>
      </c>
      <c r="M240" s="2">
        <f t="shared" si="28"/>
        <v>1.01651922230747</v>
      </c>
      <c r="N240" s="1">
        <v>1695724</v>
      </c>
      <c r="O240" s="2">
        <f t="shared" si="29"/>
        <v>1.87471835953133</v>
      </c>
      <c r="P240" s="1">
        <v>575156</v>
      </c>
      <c r="Q240" s="2">
        <f t="shared" si="34"/>
        <v>0.635867342087865</v>
      </c>
      <c r="S240" s="1">
        <f t="shared" si="33"/>
        <v>1.16185350485692</v>
      </c>
      <c r="T240" s="1">
        <f t="shared" si="30"/>
        <v>1.26348096070804</v>
      </c>
      <c r="U240" s="1">
        <f t="shared" si="35"/>
        <v>0.814802881406642</v>
      </c>
      <c r="V240" s="1">
        <f t="shared" si="31"/>
        <v>1.54118056764757</v>
      </c>
      <c r="W240" s="1">
        <f t="shared" si="32"/>
        <v>1.28349767981439</v>
      </c>
    </row>
    <row r="241" spans="1:23">
      <c r="A241" s="1" t="s">
        <v>258</v>
      </c>
      <c r="B241" s="1">
        <v>226340</v>
      </c>
      <c r="C241" s="1">
        <v>226340</v>
      </c>
      <c r="D241" s="1">
        <v>883422</v>
      </c>
      <c r="E241" s="1">
        <v>34.569</v>
      </c>
      <c r="F241" s="1">
        <v>29.357</v>
      </c>
      <c r="G241" s="1">
        <v>27.431</v>
      </c>
      <c r="H241" s="1">
        <v>43.121</v>
      </c>
      <c r="I241" s="1">
        <v>20.563</v>
      </c>
      <c r="J241" s="1">
        <v>26.221</v>
      </c>
      <c r="K241" s="1">
        <v>883422</v>
      </c>
      <c r="L241" s="1">
        <v>896892</v>
      </c>
      <c r="M241" s="2">
        <f t="shared" si="28"/>
        <v>1.01524752609738</v>
      </c>
      <c r="N241" s="1">
        <v>1664420</v>
      </c>
      <c r="O241" s="2">
        <f t="shared" si="29"/>
        <v>1.88405993964379</v>
      </c>
      <c r="P241" s="1">
        <v>565754</v>
      </c>
      <c r="Q241" s="2">
        <f t="shared" si="34"/>
        <v>0.640411943555854</v>
      </c>
      <c r="S241" s="1">
        <f t="shared" si="33"/>
        <v>1.17753857683006</v>
      </c>
      <c r="T241" s="1">
        <f t="shared" si="30"/>
        <v>1.26021654332689</v>
      </c>
      <c r="U241" s="1">
        <f t="shared" si="35"/>
        <v>0.80167435820134</v>
      </c>
      <c r="V241" s="1">
        <f t="shared" si="31"/>
        <v>1.68112629480134</v>
      </c>
      <c r="W241" s="1">
        <f t="shared" si="32"/>
        <v>1.31837077151901</v>
      </c>
    </row>
    <row r="242" spans="1:23">
      <c r="A242" s="1" t="s">
        <v>259</v>
      </c>
      <c r="B242" s="1">
        <v>22283</v>
      </c>
      <c r="C242" s="1">
        <v>22283</v>
      </c>
      <c r="D242" s="1">
        <v>24669643</v>
      </c>
      <c r="E242" s="1">
        <v>578.793</v>
      </c>
      <c r="F242" s="1">
        <v>537.964</v>
      </c>
      <c r="G242" s="1">
        <v>518.449</v>
      </c>
      <c r="H242" s="1">
        <v>670.554</v>
      </c>
      <c r="I242" s="1">
        <v>646.26</v>
      </c>
      <c r="J242" s="1">
        <v>367.076</v>
      </c>
      <c r="K242" s="1">
        <v>24669643</v>
      </c>
      <c r="L242" s="1">
        <v>24823582</v>
      </c>
      <c r="M242" s="2">
        <f t="shared" si="28"/>
        <v>1.00624001733629</v>
      </c>
      <c r="N242" s="1">
        <v>40456272</v>
      </c>
      <c r="O242" s="2">
        <f t="shared" si="29"/>
        <v>1.63992125869029</v>
      </c>
      <c r="P242" s="1">
        <v>18599100</v>
      </c>
      <c r="Q242" s="2">
        <f t="shared" si="34"/>
        <v>0.753926597154243</v>
      </c>
      <c r="S242" s="1">
        <f t="shared" si="33"/>
        <v>1.07589541307597</v>
      </c>
      <c r="T242" s="1">
        <f t="shared" si="30"/>
        <v>1.11639331930431</v>
      </c>
      <c r="U242" s="1">
        <f t="shared" si="35"/>
        <v>0.863156434828515</v>
      </c>
      <c r="V242" s="1">
        <f t="shared" si="31"/>
        <v>0.895603936496147</v>
      </c>
      <c r="W242" s="1">
        <f t="shared" si="32"/>
        <v>1.57676611927775</v>
      </c>
    </row>
    <row r="243" spans="1:23">
      <c r="A243" s="1" t="s">
        <v>260</v>
      </c>
      <c r="B243" s="1">
        <v>14340</v>
      </c>
      <c r="C243" s="1">
        <v>14340</v>
      </c>
      <c r="D243" s="1">
        <v>18068388</v>
      </c>
      <c r="E243" s="1">
        <v>394.732</v>
      </c>
      <c r="F243" s="1">
        <v>357.892</v>
      </c>
      <c r="G243" s="1">
        <v>341.777</v>
      </c>
      <c r="H243" s="1">
        <v>495.387</v>
      </c>
      <c r="I243" s="1">
        <v>378.601</v>
      </c>
      <c r="J243" s="1">
        <v>234.464</v>
      </c>
      <c r="K243" s="1">
        <v>18068388</v>
      </c>
      <c r="L243" s="1">
        <v>18156242</v>
      </c>
      <c r="M243" s="2">
        <f t="shared" ref="M243:M306" si="36">L243/K243</f>
        <v>1.00486230426311</v>
      </c>
      <c r="N243" s="1">
        <v>28846468</v>
      </c>
      <c r="O243" s="2">
        <f t="shared" si="29"/>
        <v>1.59651585963286</v>
      </c>
      <c r="P243" s="1">
        <v>13135984</v>
      </c>
      <c r="Q243" s="2">
        <f t="shared" si="34"/>
        <v>0.727014717638342</v>
      </c>
      <c r="S243" s="1">
        <f t="shared" si="33"/>
        <v>1.10293608127592</v>
      </c>
      <c r="T243" s="1">
        <f t="shared" si="30"/>
        <v>1.15494020955184</v>
      </c>
      <c r="U243" s="1">
        <f t="shared" si="35"/>
        <v>0.796815419056213</v>
      </c>
      <c r="V243" s="1">
        <f t="shared" si="31"/>
        <v>1.04260686052071</v>
      </c>
      <c r="W243" s="1">
        <f t="shared" si="32"/>
        <v>1.68355056639825</v>
      </c>
    </row>
    <row r="244" spans="1:23">
      <c r="A244" s="1" t="s">
        <v>261</v>
      </c>
      <c r="B244" s="1">
        <v>9144</v>
      </c>
      <c r="C244" s="1">
        <v>9144</v>
      </c>
      <c r="D244" s="1">
        <v>124656</v>
      </c>
      <c r="E244" s="1">
        <v>2.347</v>
      </c>
      <c r="F244" s="1">
        <v>2.471</v>
      </c>
      <c r="G244" s="1">
        <v>1.948</v>
      </c>
      <c r="H244" s="1">
        <v>3.125</v>
      </c>
      <c r="I244" s="1">
        <v>3.01</v>
      </c>
      <c r="J244" s="1">
        <v>2.296</v>
      </c>
      <c r="K244" s="1">
        <v>124656</v>
      </c>
      <c r="L244" s="1">
        <v>124886</v>
      </c>
      <c r="M244" s="2">
        <f t="shared" si="36"/>
        <v>1.0018450776537</v>
      </c>
      <c r="N244" s="1">
        <v>219524</v>
      </c>
      <c r="O244" s="2">
        <f t="shared" si="29"/>
        <v>1.7610383776152</v>
      </c>
      <c r="P244" s="1">
        <v>111870</v>
      </c>
      <c r="Q244" s="2">
        <f t="shared" si="34"/>
        <v>0.897429726607624</v>
      </c>
      <c r="S244" s="1">
        <f t="shared" si="33"/>
        <v>0.949817887494941</v>
      </c>
      <c r="T244" s="1">
        <f t="shared" si="30"/>
        <v>1.20482546201232</v>
      </c>
      <c r="U244" s="1">
        <f t="shared" si="35"/>
        <v>0.75104</v>
      </c>
      <c r="V244" s="1">
        <f t="shared" si="31"/>
        <v>0.779734219269103</v>
      </c>
      <c r="W244" s="1">
        <f t="shared" si="32"/>
        <v>1.02221254355401</v>
      </c>
    </row>
    <row r="245" spans="1:23">
      <c r="A245" s="1" t="s">
        <v>262</v>
      </c>
      <c r="B245" s="1">
        <v>503712</v>
      </c>
      <c r="C245" s="1">
        <v>503712</v>
      </c>
      <c r="D245" s="1">
        <v>36816342</v>
      </c>
      <c r="E245" s="1">
        <v>1000.09</v>
      </c>
      <c r="F245" s="1">
        <v>872.727</v>
      </c>
      <c r="G245" s="1">
        <v>873.286</v>
      </c>
      <c r="H245" s="1">
        <v>783.097</v>
      </c>
      <c r="I245" s="1">
        <v>637.712</v>
      </c>
      <c r="J245" s="1">
        <v>525.938</v>
      </c>
      <c r="K245" s="1">
        <v>36816342</v>
      </c>
      <c r="L245" s="1">
        <v>36853122</v>
      </c>
      <c r="M245" s="2">
        <f t="shared" si="36"/>
        <v>1.00099901288401</v>
      </c>
      <c r="N245" s="1">
        <v>42311102</v>
      </c>
      <c r="O245" s="2">
        <f t="shared" si="29"/>
        <v>1.14924785303222</v>
      </c>
      <c r="P245" s="1">
        <v>19485438</v>
      </c>
      <c r="Q245" s="2">
        <f t="shared" si="34"/>
        <v>0.529260565865017</v>
      </c>
      <c r="S245" s="1">
        <f t="shared" si="33"/>
        <v>1.14593681643859</v>
      </c>
      <c r="T245" s="1">
        <f t="shared" si="30"/>
        <v>1.14520328964394</v>
      </c>
      <c r="U245" s="1">
        <f t="shared" si="35"/>
        <v>1.27709594086046</v>
      </c>
      <c r="V245" s="1">
        <f t="shared" si="31"/>
        <v>1.56824710841258</v>
      </c>
      <c r="W245" s="1">
        <f t="shared" si="32"/>
        <v>1.90153592248516</v>
      </c>
    </row>
    <row r="246" spans="1:23">
      <c r="A246" s="1" t="s">
        <v>263</v>
      </c>
      <c r="B246" s="1">
        <v>9961</v>
      </c>
      <c r="C246" s="1">
        <v>9961</v>
      </c>
      <c r="D246" s="1">
        <v>131144</v>
      </c>
      <c r="E246" s="1">
        <v>2.457</v>
      </c>
      <c r="F246" s="1">
        <v>2.578</v>
      </c>
      <c r="G246" s="1">
        <v>2.068</v>
      </c>
      <c r="H246" s="1">
        <v>2.755</v>
      </c>
      <c r="I246" s="1">
        <v>2.949</v>
      </c>
      <c r="J246" s="1">
        <v>2.457</v>
      </c>
      <c r="K246" s="1">
        <v>131144</v>
      </c>
      <c r="L246" s="1">
        <v>131308</v>
      </c>
      <c r="M246" s="2">
        <f t="shared" si="36"/>
        <v>1.00125053376441</v>
      </c>
      <c r="N246" s="1">
        <v>187866</v>
      </c>
      <c r="O246" s="2">
        <f t="shared" si="29"/>
        <v>1.43251692795705</v>
      </c>
      <c r="P246" s="1">
        <v>94644</v>
      </c>
      <c r="Q246" s="2">
        <f t="shared" si="34"/>
        <v>0.721679985359605</v>
      </c>
      <c r="S246" s="1">
        <f t="shared" si="33"/>
        <v>0.953064391000776</v>
      </c>
      <c r="T246" s="1">
        <f t="shared" si="30"/>
        <v>1.18810444874275</v>
      </c>
      <c r="U246" s="1">
        <f t="shared" si="35"/>
        <v>0.891833030852995</v>
      </c>
      <c r="V246" s="1">
        <f t="shared" si="31"/>
        <v>0.833163784333672</v>
      </c>
      <c r="W246" s="1">
        <f t="shared" si="32"/>
        <v>1</v>
      </c>
    </row>
    <row r="247" spans="1:23">
      <c r="A247" s="1" t="s">
        <v>264</v>
      </c>
      <c r="B247" s="1">
        <v>40000</v>
      </c>
      <c r="C247" s="1">
        <v>40000</v>
      </c>
      <c r="D247" s="1">
        <v>199200</v>
      </c>
      <c r="E247" s="1">
        <v>4.252</v>
      </c>
      <c r="F247" s="1">
        <v>8.548</v>
      </c>
      <c r="G247" s="1">
        <v>3.922</v>
      </c>
      <c r="H247" s="1">
        <v>5.312</v>
      </c>
      <c r="I247" s="1">
        <v>3.869</v>
      </c>
      <c r="J247" s="1">
        <v>3.877</v>
      </c>
      <c r="K247" s="1">
        <v>199200</v>
      </c>
      <c r="L247" s="1">
        <v>199210</v>
      </c>
      <c r="M247" s="2">
        <f t="shared" si="36"/>
        <v>1.00005020080321</v>
      </c>
      <c r="N247" s="1">
        <v>318400</v>
      </c>
      <c r="O247" s="2">
        <f t="shared" si="29"/>
        <v>1.59839357429719</v>
      </c>
      <c r="P247" s="1">
        <v>119800</v>
      </c>
      <c r="Q247" s="2">
        <f t="shared" si="34"/>
        <v>0.60140562248996</v>
      </c>
      <c r="S247" s="1">
        <f t="shared" si="33"/>
        <v>0.497426298549368</v>
      </c>
      <c r="T247" s="1">
        <f t="shared" si="30"/>
        <v>1.0841407445181</v>
      </c>
      <c r="U247" s="1">
        <f t="shared" si="35"/>
        <v>0.800451807228916</v>
      </c>
      <c r="V247" s="1">
        <f t="shared" si="31"/>
        <v>1.09899198759369</v>
      </c>
      <c r="W247" s="1">
        <f t="shared" si="32"/>
        <v>1.09672427134382</v>
      </c>
    </row>
    <row r="248" spans="1:23">
      <c r="A248" s="1" t="s">
        <v>265</v>
      </c>
      <c r="B248" s="1">
        <v>67759</v>
      </c>
      <c r="C248" s="1">
        <v>67759</v>
      </c>
      <c r="D248" s="1">
        <v>559774</v>
      </c>
      <c r="E248" s="1">
        <v>12.363</v>
      </c>
      <c r="F248" s="1">
        <v>13.903</v>
      </c>
      <c r="G248" s="1">
        <v>10.877</v>
      </c>
      <c r="H248" s="1">
        <v>14.519</v>
      </c>
      <c r="I248" s="1">
        <v>12.154</v>
      </c>
      <c r="J248" s="1">
        <v>12.379</v>
      </c>
      <c r="K248" s="1">
        <v>559774</v>
      </c>
      <c r="L248" s="1">
        <v>560016</v>
      </c>
      <c r="M248" s="2">
        <f t="shared" si="36"/>
        <v>1.00043231732806</v>
      </c>
      <c r="N248" s="1">
        <v>870796</v>
      </c>
      <c r="O248" s="2">
        <f t="shared" si="29"/>
        <v>1.55562066119541</v>
      </c>
      <c r="P248" s="1">
        <v>434334</v>
      </c>
      <c r="Q248" s="2">
        <f t="shared" si="34"/>
        <v>0.775909563502413</v>
      </c>
      <c r="S248" s="1">
        <f t="shared" si="33"/>
        <v>0.889232539739624</v>
      </c>
      <c r="T248" s="1">
        <f t="shared" si="30"/>
        <v>1.13661855290981</v>
      </c>
      <c r="U248" s="1">
        <f t="shared" si="35"/>
        <v>0.851504924581583</v>
      </c>
      <c r="V248" s="1">
        <f t="shared" si="31"/>
        <v>1.01719598486095</v>
      </c>
      <c r="W248" s="1">
        <f t="shared" si="32"/>
        <v>0.998707488488569</v>
      </c>
    </row>
    <row r="249" spans="1:23">
      <c r="A249" s="1" t="s">
        <v>266</v>
      </c>
      <c r="B249" s="1">
        <v>38547</v>
      </c>
      <c r="C249" s="1">
        <v>38547</v>
      </c>
      <c r="D249" s="1">
        <v>618158</v>
      </c>
      <c r="E249" s="1">
        <v>17.768</v>
      </c>
      <c r="F249" s="1">
        <v>19.166</v>
      </c>
      <c r="G249" s="1">
        <v>17.579</v>
      </c>
      <c r="H249" s="1">
        <v>25.794</v>
      </c>
      <c r="I249" s="1">
        <v>29.756</v>
      </c>
      <c r="J249" s="1">
        <v>18.735</v>
      </c>
      <c r="K249" s="1">
        <v>618158</v>
      </c>
      <c r="L249" s="1">
        <v>622458</v>
      </c>
      <c r="M249" s="2">
        <f t="shared" si="36"/>
        <v>1.00695615036932</v>
      </c>
      <c r="N249" s="1">
        <v>1235686</v>
      </c>
      <c r="O249" s="2">
        <f t="shared" si="29"/>
        <v>1.99898084308542</v>
      </c>
      <c r="P249" s="1">
        <v>656130</v>
      </c>
      <c r="Q249" s="2">
        <f t="shared" si="34"/>
        <v>1.06142766088929</v>
      </c>
      <c r="S249" s="1">
        <f t="shared" si="33"/>
        <v>0.927058332463738</v>
      </c>
      <c r="T249" s="1">
        <f t="shared" si="30"/>
        <v>1.01075146481597</v>
      </c>
      <c r="U249" s="1">
        <f t="shared" si="35"/>
        <v>0.688842366441808</v>
      </c>
      <c r="V249" s="1">
        <f t="shared" si="31"/>
        <v>0.597123269256621</v>
      </c>
      <c r="W249" s="1">
        <f t="shared" si="32"/>
        <v>0.94838537496664</v>
      </c>
    </row>
    <row r="250" spans="1:23">
      <c r="A250" s="1" t="s">
        <v>267</v>
      </c>
      <c r="B250" s="1">
        <v>4361</v>
      </c>
      <c r="C250" s="1">
        <v>4361</v>
      </c>
      <c r="D250" s="1">
        <v>44840</v>
      </c>
      <c r="E250" s="1">
        <v>0.813</v>
      </c>
      <c r="F250" s="1">
        <v>0.772</v>
      </c>
      <c r="G250" s="1">
        <v>0.662</v>
      </c>
      <c r="H250" s="1">
        <v>0.946</v>
      </c>
      <c r="I250" s="1">
        <v>0.585</v>
      </c>
      <c r="J250" s="1">
        <v>0.751</v>
      </c>
      <c r="K250" s="1">
        <v>44840</v>
      </c>
      <c r="L250" s="1">
        <v>45794</v>
      </c>
      <c r="M250" s="2">
        <f t="shared" si="36"/>
        <v>1.02127564674398</v>
      </c>
      <c r="N250" s="1">
        <v>71680</v>
      </c>
      <c r="O250" s="2">
        <f t="shared" si="29"/>
        <v>1.5985727029438</v>
      </c>
      <c r="P250" s="1">
        <v>26782</v>
      </c>
      <c r="Q250" s="2">
        <f t="shared" si="34"/>
        <v>0.597279214986619</v>
      </c>
      <c r="S250" s="1">
        <f t="shared" si="33"/>
        <v>1.05310880829016</v>
      </c>
      <c r="T250" s="1">
        <f t="shared" si="30"/>
        <v>1.22809667673716</v>
      </c>
      <c r="U250" s="1">
        <f t="shared" si="35"/>
        <v>0.859408033826638</v>
      </c>
      <c r="V250" s="1">
        <f t="shared" si="31"/>
        <v>1.38974358974359</v>
      </c>
      <c r="W250" s="1">
        <f t="shared" si="32"/>
        <v>1.08255659121172</v>
      </c>
    </row>
    <row r="251" spans="1:23">
      <c r="A251" s="1" t="s">
        <v>268</v>
      </c>
      <c r="B251" s="1">
        <v>5082</v>
      </c>
      <c r="C251" s="1">
        <v>5082</v>
      </c>
      <c r="D251" s="1">
        <v>53219</v>
      </c>
      <c r="E251" s="1">
        <v>0.976</v>
      </c>
      <c r="F251" s="1">
        <v>0.934</v>
      </c>
      <c r="G251" s="1">
        <v>0.81</v>
      </c>
      <c r="H251" s="1">
        <v>1.102</v>
      </c>
      <c r="I251" s="1">
        <v>0.718</v>
      </c>
      <c r="J251" s="1">
        <v>0.906</v>
      </c>
      <c r="K251" s="1">
        <v>53219</v>
      </c>
      <c r="L251" s="1">
        <v>54374</v>
      </c>
      <c r="M251" s="2">
        <f t="shared" si="36"/>
        <v>1.0217027753246</v>
      </c>
      <c r="N251" s="1">
        <v>84654</v>
      </c>
      <c r="O251" s="2">
        <f t="shared" si="29"/>
        <v>1.59067250418084</v>
      </c>
      <c r="P251" s="1">
        <v>31624</v>
      </c>
      <c r="Q251" s="2">
        <f t="shared" si="34"/>
        <v>0.594223867415773</v>
      </c>
      <c r="S251" s="1">
        <f t="shared" si="33"/>
        <v>1.04496788008565</v>
      </c>
      <c r="T251" s="1">
        <f t="shared" si="30"/>
        <v>1.20493827160494</v>
      </c>
      <c r="U251" s="1">
        <f t="shared" si="35"/>
        <v>0.885662431941924</v>
      </c>
      <c r="V251" s="1">
        <f t="shared" si="31"/>
        <v>1.35933147632312</v>
      </c>
      <c r="W251" s="1">
        <f t="shared" si="32"/>
        <v>1.07726269315673</v>
      </c>
    </row>
    <row r="252" spans="1:23">
      <c r="A252" s="1" t="s">
        <v>269</v>
      </c>
      <c r="B252" s="1">
        <v>7105</v>
      </c>
      <c r="C252" s="1">
        <v>7105</v>
      </c>
      <c r="D252" s="1">
        <v>74869</v>
      </c>
      <c r="E252" s="1">
        <v>1.393</v>
      </c>
      <c r="F252" s="1">
        <v>1.322</v>
      </c>
      <c r="G252" s="1">
        <v>1.16</v>
      </c>
      <c r="H252" s="1">
        <v>1.611</v>
      </c>
      <c r="I252" s="1">
        <v>1.058</v>
      </c>
      <c r="J252" s="1">
        <v>1.302</v>
      </c>
      <c r="K252" s="1">
        <v>74869</v>
      </c>
      <c r="L252" s="1">
        <v>76442</v>
      </c>
      <c r="M252" s="2">
        <f t="shared" si="36"/>
        <v>1.02101003085389</v>
      </c>
      <c r="N252" s="1">
        <v>118786</v>
      </c>
      <c r="O252" s="2">
        <f t="shared" si="29"/>
        <v>1.5865845677116</v>
      </c>
      <c r="P252" s="1">
        <v>44396</v>
      </c>
      <c r="Q252" s="2">
        <f t="shared" si="34"/>
        <v>0.592982409274867</v>
      </c>
      <c r="S252" s="1">
        <f t="shared" si="33"/>
        <v>1.05370650529501</v>
      </c>
      <c r="T252" s="1">
        <f t="shared" si="30"/>
        <v>1.20086206896552</v>
      </c>
      <c r="U252" s="1">
        <f t="shared" si="35"/>
        <v>0.864680322780881</v>
      </c>
      <c r="V252" s="1">
        <f t="shared" si="31"/>
        <v>1.31663516068053</v>
      </c>
      <c r="W252" s="1">
        <f t="shared" si="32"/>
        <v>1.06989247311828</v>
      </c>
    </row>
    <row r="253" spans="1:23">
      <c r="A253" s="1" t="s">
        <v>270</v>
      </c>
      <c r="B253" s="1">
        <v>7641</v>
      </c>
      <c r="C253" s="1">
        <v>7641</v>
      </c>
      <c r="D253" s="1">
        <v>80767</v>
      </c>
      <c r="E253" s="1">
        <v>1.508</v>
      </c>
      <c r="F253" s="1">
        <v>1.435</v>
      </c>
      <c r="G253" s="1">
        <v>1.268</v>
      </c>
      <c r="H253" s="1">
        <v>1.683</v>
      </c>
      <c r="I253" s="1">
        <v>1.108</v>
      </c>
      <c r="J253" s="1">
        <v>1.371</v>
      </c>
      <c r="K253" s="1">
        <v>80767</v>
      </c>
      <c r="L253" s="1">
        <v>82452</v>
      </c>
      <c r="M253" s="2">
        <f t="shared" si="36"/>
        <v>1.02086248096376</v>
      </c>
      <c r="N253" s="1">
        <v>127748</v>
      </c>
      <c r="O253" s="2">
        <f t="shared" si="29"/>
        <v>1.58168558941152</v>
      </c>
      <c r="P253" s="1">
        <v>47922</v>
      </c>
      <c r="Q253" s="2">
        <f t="shared" si="34"/>
        <v>0.593336387385937</v>
      </c>
      <c r="S253" s="1">
        <f t="shared" si="33"/>
        <v>1.05087108013937</v>
      </c>
      <c r="T253" s="1">
        <f t="shared" si="30"/>
        <v>1.18927444794953</v>
      </c>
      <c r="U253" s="1">
        <f t="shared" si="35"/>
        <v>0.896019013666073</v>
      </c>
      <c r="V253" s="1">
        <f t="shared" si="31"/>
        <v>1.36101083032491</v>
      </c>
      <c r="W253" s="1">
        <f t="shared" si="32"/>
        <v>1.09992706053975</v>
      </c>
    </row>
    <row r="254" spans="1:23">
      <c r="A254" s="1" t="s">
        <v>271</v>
      </c>
      <c r="B254" s="1">
        <v>7773</v>
      </c>
      <c r="C254" s="1">
        <v>7773</v>
      </c>
      <c r="D254" s="1">
        <v>82500</v>
      </c>
      <c r="E254" s="1">
        <v>1.539</v>
      </c>
      <c r="F254" s="1">
        <v>1.484</v>
      </c>
      <c r="G254" s="1">
        <v>1.28</v>
      </c>
      <c r="H254" s="1">
        <v>1.723</v>
      </c>
      <c r="I254" s="1">
        <v>1.134</v>
      </c>
      <c r="J254" s="1">
        <v>1.435</v>
      </c>
      <c r="K254" s="1">
        <v>82500</v>
      </c>
      <c r="L254" s="1">
        <v>84146</v>
      </c>
      <c r="M254" s="2">
        <f t="shared" si="36"/>
        <v>1.01995151515152</v>
      </c>
      <c r="N254" s="1">
        <v>130276</v>
      </c>
      <c r="O254" s="2">
        <f t="shared" si="29"/>
        <v>1.57910303030303</v>
      </c>
      <c r="P254" s="1">
        <v>48880</v>
      </c>
      <c r="Q254" s="2">
        <f t="shared" si="34"/>
        <v>0.592484848484849</v>
      </c>
      <c r="S254" s="1">
        <f t="shared" si="33"/>
        <v>1.03706199460916</v>
      </c>
      <c r="T254" s="1">
        <f t="shared" si="30"/>
        <v>1.20234375</v>
      </c>
      <c r="U254" s="1">
        <f t="shared" si="35"/>
        <v>0.893209518282066</v>
      </c>
      <c r="V254" s="1">
        <f t="shared" si="31"/>
        <v>1.35714285714286</v>
      </c>
      <c r="W254" s="1">
        <f t="shared" si="32"/>
        <v>1.07247386759582</v>
      </c>
    </row>
    <row r="255" spans="1:23">
      <c r="A255" s="1" t="s">
        <v>272</v>
      </c>
      <c r="B255" s="1">
        <v>7968</v>
      </c>
      <c r="C255" s="1">
        <v>7968</v>
      </c>
      <c r="D255" s="1">
        <v>84508</v>
      </c>
      <c r="E255" s="1">
        <v>1.594</v>
      </c>
      <c r="F255" s="1">
        <v>1.517</v>
      </c>
      <c r="G255" s="1">
        <v>1.341</v>
      </c>
      <c r="H255" s="1">
        <v>1.773</v>
      </c>
      <c r="I255" s="1">
        <v>1.213</v>
      </c>
      <c r="J255" s="1">
        <v>1.468</v>
      </c>
      <c r="K255" s="1">
        <v>84508</v>
      </c>
      <c r="L255" s="1">
        <v>86190</v>
      </c>
      <c r="M255" s="2">
        <f t="shared" si="36"/>
        <v>1.01990344109433</v>
      </c>
      <c r="N255" s="1">
        <v>133522</v>
      </c>
      <c r="O255" s="2">
        <f t="shared" si="29"/>
        <v>1.5799924267525</v>
      </c>
      <c r="P255" s="1">
        <v>49998</v>
      </c>
      <c r="Q255" s="2">
        <f t="shared" si="34"/>
        <v>0.591636294788659</v>
      </c>
      <c r="S255" s="1">
        <f t="shared" si="33"/>
        <v>1.05075807514832</v>
      </c>
      <c r="T255" s="1">
        <f t="shared" si="30"/>
        <v>1.18866517524236</v>
      </c>
      <c r="U255" s="1">
        <f t="shared" si="35"/>
        <v>0.899041173152848</v>
      </c>
      <c r="V255" s="1">
        <f t="shared" si="31"/>
        <v>1.31409727947238</v>
      </c>
      <c r="W255" s="1">
        <f t="shared" si="32"/>
        <v>1.0858310626703</v>
      </c>
    </row>
    <row r="256" spans="1:23">
      <c r="A256" s="1" t="s">
        <v>273</v>
      </c>
      <c r="B256" s="1">
        <v>8052</v>
      </c>
      <c r="C256" s="1">
        <v>8052</v>
      </c>
      <c r="D256" s="1">
        <v>85194</v>
      </c>
      <c r="E256" s="1">
        <v>1.584</v>
      </c>
      <c r="F256" s="1">
        <v>1.528</v>
      </c>
      <c r="G256" s="1">
        <v>1.353</v>
      </c>
      <c r="H256" s="1">
        <v>1.79</v>
      </c>
      <c r="I256" s="1">
        <v>1.212</v>
      </c>
      <c r="J256" s="1">
        <v>1.464</v>
      </c>
      <c r="K256" s="1">
        <v>85194</v>
      </c>
      <c r="L256" s="1">
        <v>86920</v>
      </c>
      <c r="M256" s="2">
        <f t="shared" si="36"/>
        <v>1.02025964269784</v>
      </c>
      <c r="N256" s="1">
        <v>134676</v>
      </c>
      <c r="O256" s="2">
        <f t="shared" si="29"/>
        <v>1.58081555039087</v>
      </c>
      <c r="P256" s="1">
        <v>50466</v>
      </c>
      <c r="Q256" s="2">
        <f t="shared" si="34"/>
        <v>0.59236565955349</v>
      </c>
      <c r="S256" s="1">
        <f t="shared" si="33"/>
        <v>1.03664921465969</v>
      </c>
      <c r="T256" s="1">
        <f t="shared" si="30"/>
        <v>1.17073170731707</v>
      </c>
      <c r="U256" s="1">
        <f t="shared" si="35"/>
        <v>0.884916201117319</v>
      </c>
      <c r="V256" s="1">
        <f t="shared" si="31"/>
        <v>1.30693069306931</v>
      </c>
      <c r="W256" s="1">
        <f t="shared" si="32"/>
        <v>1.08196721311475</v>
      </c>
    </row>
    <row r="257" spans="1:23">
      <c r="A257" s="1" t="s">
        <v>274</v>
      </c>
      <c r="B257" s="1">
        <v>8115</v>
      </c>
      <c r="C257" s="1">
        <v>8115</v>
      </c>
      <c r="D257" s="1">
        <v>86183</v>
      </c>
      <c r="E257" s="1">
        <v>1.63</v>
      </c>
      <c r="F257" s="1">
        <v>1.558</v>
      </c>
      <c r="G257" s="1">
        <v>1.356</v>
      </c>
      <c r="H257" s="1">
        <v>1.796</v>
      </c>
      <c r="I257" s="1">
        <v>1.198</v>
      </c>
      <c r="J257" s="1">
        <v>1.491</v>
      </c>
      <c r="K257" s="1">
        <v>86183</v>
      </c>
      <c r="L257" s="1">
        <v>87970</v>
      </c>
      <c r="M257" s="2">
        <f t="shared" si="36"/>
        <v>1.02073494772751</v>
      </c>
      <c r="N257" s="1">
        <v>136110</v>
      </c>
      <c r="O257" s="2">
        <f t="shared" si="29"/>
        <v>1.57931378578142</v>
      </c>
      <c r="P257" s="1">
        <v>50978</v>
      </c>
      <c r="Q257" s="2">
        <f t="shared" si="34"/>
        <v>0.591508766229999</v>
      </c>
      <c r="S257" s="1">
        <f t="shared" si="33"/>
        <v>1.04621309370988</v>
      </c>
      <c r="T257" s="1">
        <f t="shared" si="30"/>
        <v>1.20206489675516</v>
      </c>
      <c r="U257" s="1">
        <f t="shared" si="35"/>
        <v>0.907572383073497</v>
      </c>
      <c r="V257" s="1">
        <f t="shared" si="31"/>
        <v>1.36060100166945</v>
      </c>
      <c r="W257" s="1">
        <f t="shared" si="32"/>
        <v>1.09322602280349</v>
      </c>
    </row>
    <row r="258" spans="1:23">
      <c r="A258" s="1" t="s">
        <v>275</v>
      </c>
      <c r="B258" s="1">
        <v>2063494</v>
      </c>
      <c r="C258" s="1">
        <v>2063494</v>
      </c>
      <c r="D258" s="1">
        <v>14612663</v>
      </c>
      <c r="E258" s="1">
        <v>514.416</v>
      </c>
      <c r="F258" s="1">
        <v>522.13</v>
      </c>
      <c r="G258" s="1">
        <v>491.715</v>
      </c>
      <c r="H258" s="1">
        <v>740.882</v>
      </c>
      <c r="I258" s="1">
        <v>555.35</v>
      </c>
      <c r="J258" s="1">
        <v>459.72</v>
      </c>
      <c r="K258" s="1">
        <v>14612663</v>
      </c>
      <c r="L258" s="1">
        <v>14653234</v>
      </c>
      <c r="M258" s="2">
        <f t="shared" si="36"/>
        <v>1.00277642754096</v>
      </c>
      <c r="N258" s="1">
        <v>29134866</v>
      </c>
      <c r="O258" s="2">
        <f t="shared" si="29"/>
        <v>1.99380947880616</v>
      </c>
      <c r="P258" s="1">
        <v>12368110</v>
      </c>
      <c r="Q258" s="2">
        <f t="shared" si="34"/>
        <v>0.846396717696152</v>
      </c>
      <c r="S258" s="1">
        <f t="shared" si="33"/>
        <v>0.985225901595388</v>
      </c>
      <c r="T258" s="1">
        <f t="shared" si="30"/>
        <v>1.04616698697416</v>
      </c>
      <c r="U258" s="1">
        <f t="shared" si="35"/>
        <v>0.694329191423196</v>
      </c>
      <c r="V258" s="1">
        <f t="shared" si="31"/>
        <v>0.92629152786531</v>
      </c>
      <c r="W258" s="1">
        <f t="shared" si="32"/>
        <v>1.11897676846776</v>
      </c>
    </row>
    <row r="259" spans="1:23">
      <c r="A259" s="1" t="s">
        <v>276</v>
      </c>
      <c r="B259" s="1">
        <v>10000</v>
      </c>
      <c r="C259" s="1">
        <v>10000</v>
      </c>
      <c r="D259" s="1">
        <v>156932</v>
      </c>
      <c r="E259" s="1">
        <v>2.996</v>
      </c>
      <c r="F259" s="1">
        <v>3.136</v>
      </c>
      <c r="G259" s="1">
        <v>2.725</v>
      </c>
      <c r="H259" s="1">
        <v>4.365</v>
      </c>
      <c r="I259" s="1">
        <v>4.491</v>
      </c>
      <c r="J259" s="1">
        <v>2.813</v>
      </c>
      <c r="K259" s="1">
        <v>156932</v>
      </c>
      <c r="L259" s="1">
        <v>157938</v>
      </c>
      <c r="M259" s="2">
        <f t="shared" si="36"/>
        <v>1.00641041979966</v>
      </c>
      <c r="N259" s="1">
        <v>313270</v>
      </c>
      <c r="O259" s="2">
        <f t="shared" ref="O259:O322" si="37">N259/K259</f>
        <v>1.99621492111233</v>
      </c>
      <c r="P259" s="1">
        <v>166388</v>
      </c>
      <c r="Q259" s="2">
        <f t="shared" si="34"/>
        <v>1.06025539724212</v>
      </c>
      <c r="S259" s="1">
        <f t="shared" si="33"/>
        <v>0.955357142857143</v>
      </c>
      <c r="T259" s="1">
        <f t="shared" ref="T259:T322" si="38">E259/G259</f>
        <v>1.0994495412844</v>
      </c>
      <c r="U259" s="1">
        <f t="shared" si="35"/>
        <v>0.686368843069874</v>
      </c>
      <c r="V259" s="1">
        <f t="shared" ref="V259:V322" si="39">E259/I259</f>
        <v>0.667112001781341</v>
      </c>
      <c r="W259" s="1">
        <f t="shared" ref="W259:W322" si="40">E259/J259</f>
        <v>1.06505510131532</v>
      </c>
    </row>
    <row r="260" spans="1:23">
      <c r="A260" s="1" t="s">
        <v>277</v>
      </c>
      <c r="B260" s="1">
        <v>7102</v>
      </c>
      <c r="C260" s="1">
        <v>7102</v>
      </c>
      <c r="D260" s="1">
        <v>340200</v>
      </c>
      <c r="E260" s="1">
        <v>6.472</v>
      </c>
      <c r="F260" s="1">
        <v>5.057</v>
      </c>
      <c r="G260" s="1">
        <v>5.135</v>
      </c>
      <c r="H260" s="1">
        <v>3.742</v>
      </c>
      <c r="I260" s="1">
        <v>3.24</v>
      </c>
      <c r="J260" s="1">
        <v>3.845</v>
      </c>
      <c r="K260" s="1">
        <v>340200</v>
      </c>
      <c r="L260" s="1">
        <v>340214</v>
      </c>
      <c r="M260" s="2">
        <f t="shared" si="36"/>
        <v>1.00004115226337</v>
      </c>
      <c r="N260" s="1">
        <v>340268</v>
      </c>
      <c r="O260" s="2">
        <f t="shared" si="37"/>
        <v>1.0001998824221</v>
      </c>
      <c r="P260" s="1">
        <v>177200</v>
      </c>
      <c r="Q260" s="2">
        <f t="shared" si="34"/>
        <v>0.520870076425632</v>
      </c>
      <c r="S260" s="1">
        <f t="shared" si="33"/>
        <v>1.27981016412893</v>
      </c>
      <c r="T260" s="1">
        <f t="shared" si="38"/>
        <v>1.2603700097371</v>
      </c>
      <c r="U260" s="1">
        <f t="shared" si="35"/>
        <v>1.72955638695885</v>
      </c>
      <c r="V260" s="1">
        <f t="shared" si="39"/>
        <v>1.99753086419753</v>
      </c>
      <c r="W260" s="1">
        <f t="shared" si="40"/>
        <v>1.68322496749025</v>
      </c>
    </row>
    <row r="261" spans="1:23">
      <c r="A261" s="1" t="s">
        <v>278</v>
      </c>
      <c r="B261" s="1">
        <v>3002</v>
      </c>
      <c r="C261" s="1">
        <v>3002</v>
      </c>
      <c r="D261" s="1">
        <v>9000</v>
      </c>
      <c r="E261" s="1">
        <v>0.276</v>
      </c>
      <c r="F261" s="1">
        <v>0.318</v>
      </c>
      <c r="G261" s="1">
        <v>0.158</v>
      </c>
      <c r="H261" s="1">
        <v>0.417</v>
      </c>
      <c r="I261" s="1">
        <v>0.179</v>
      </c>
      <c r="J261" s="1">
        <v>0.234</v>
      </c>
      <c r="K261" s="1">
        <v>9000</v>
      </c>
      <c r="L261" s="1">
        <v>9002</v>
      </c>
      <c r="M261" s="2">
        <f t="shared" si="36"/>
        <v>1.00022222222222</v>
      </c>
      <c r="N261" s="1">
        <v>14000</v>
      </c>
      <c r="O261" s="2">
        <f t="shared" si="37"/>
        <v>1.55555555555556</v>
      </c>
      <c r="P261" s="1">
        <v>7004</v>
      </c>
      <c r="Q261" s="2">
        <f t="shared" si="34"/>
        <v>0.778222222222222</v>
      </c>
      <c r="S261" s="1">
        <f t="shared" si="33"/>
        <v>0.867924528301887</v>
      </c>
      <c r="T261" s="1">
        <f t="shared" si="38"/>
        <v>1.74683544303797</v>
      </c>
      <c r="U261" s="1">
        <f t="shared" si="35"/>
        <v>0.661870503597122</v>
      </c>
      <c r="V261" s="1">
        <f t="shared" si="39"/>
        <v>1.54189944134078</v>
      </c>
      <c r="W261" s="1">
        <f t="shared" si="40"/>
        <v>1.17948717948718</v>
      </c>
    </row>
    <row r="262" spans="1:23">
      <c r="A262" s="1" t="s">
        <v>279</v>
      </c>
      <c r="B262" s="1">
        <v>952203</v>
      </c>
      <c r="C262" s="1">
        <v>952203</v>
      </c>
      <c r="D262" s="1">
        <v>46522475</v>
      </c>
      <c r="E262" s="1">
        <v>1269.24</v>
      </c>
      <c r="F262" s="1">
        <v>1122.58</v>
      </c>
      <c r="G262" s="1">
        <v>1132.04</v>
      </c>
      <c r="H262" s="1">
        <v>962.865</v>
      </c>
      <c r="I262" s="1">
        <v>754.482</v>
      </c>
      <c r="J262" s="1">
        <v>685.377</v>
      </c>
      <c r="K262" s="1">
        <v>46522475</v>
      </c>
      <c r="L262" s="1">
        <v>46549228</v>
      </c>
      <c r="M262" s="2">
        <f t="shared" si="36"/>
        <v>1.00057505538989</v>
      </c>
      <c r="N262" s="1">
        <v>50262366</v>
      </c>
      <c r="O262" s="2">
        <f t="shared" si="37"/>
        <v>1.08038890880161</v>
      </c>
      <c r="P262" s="1">
        <v>24339026</v>
      </c>
      <c r="Q262" s="2">
        <f t="shared" si="34"/>
        <v>0.523167049904374</v>
      </c>
      <c r="S262" s="1">
        <f t="shared" si="33"/>
        <v>1.13064547738246</v>
      </c>
      <c r="T262" s="1">
        <f t="shared" si="38"/>
        <v>1.12119713084343</v>
      </c>
      <c r="U262" s="1">
        <f t="shared" si="35"/>
        <v>1.31819102366375</v>
      </c>
      <c r="V262" s="1">
        <f t="shared" si="39"/>
        <v>1.68226677376001</v>
      </c>
      <c r="W262" s="1">
        <f t="shared" si="40"/>
        <v>1.85188589637528</v>
      </c>
    </row>
    <row r="263" spans="1:23">
      <c r="A263" s="1" t="s">
        <v>280</v>
      </c>
      <c r="B263" s="1">
        <v>19998</v>
      </c>
      <c r="C263" s="1">
        <v>19998</v>
      </c>
      <c r="D263" s="1">
        <v>99982</v>
      </c>
      <c r="E263" s="1">
        <v>1.874</v>
      </c>
      <c r="F263" s="1">
        <v>4.35</v>
      </c>
      <c r="G263" s="1">
        <v>1.785</v>
      </c>
      <c r="H263" s="1">
        <v>1.822</v>
      </c>
      <c r="I263" s="1">
        <v>1.644</v>
      </c>
      <c r="J263" s="1">
        <v>1.649</v>
      </c>
      <c r="K263" s="1">
        <v>99982</v>
      </c>
      <c r="L263" s="1">
        <v>99986</v>
      </c>
      <c r="M263" s="2">
        <f t="shared" si="36"/>
        <v>1.0000400072013</v>
      </c>
      <c r="N263" s="1">
        <v>119980</v>
      </c>
      <c r="O263" s="2">
        <f t="shared" si="37"/>
        <v>1.20001600288052</v>
      </c>
      <c r="P263" s="1">
        <v>59992</v>
      </c>
      <c r="Q263" s="2">
        <f t="shared" si="34"/>
        <v>0.600028005040907</v>
      </c>
      <c r="S263" s="1">
        <f t="shared" si="33"/>
        <v>0.430804597701149</v>
      </c>
      <c r="T263" s="1">
        <f t="shared" si="38"/>
        <v>1.04985994397759</v>
      </c>
      <c r="U263" s="1">
        <f t="shared" si="35"/>
        <v>1.02854006586169</v>
      </c>
      <c r="V263" s="1">
        <f t="shared" si="39"/>
        <v>1.13990267639903</v>
      </c>
      <c r="W263" s="1">
        <f t="shared" si="40"/>
        <v>1.13644633110976</v>
      </c>
    </row>
    <row r="264" spans="1:23">
      <c r="A264" s="1" t="s">
        <v>281</v>
      </c>
      <c r="B264" s="1">
        <v>19994</v>
      </c>
      <c r="C264" s="1">
        <v>19994</v>
      </c>
      <c r="D264" s="1">
        <v>79966</v>
      </c>
      <c r="E264" s="1">
        <v>1.512</v>
      </c>
      <c r="F264" s="1">
        <v>2.862</v>
      </c>
      <c r="G264" s="1">
        <v>1.531</v>
      </c>
      <c r="H264" s="1">
        <v>1.779</v>
      </c>
      <c r="I264" s="1">
        <v>1.48</v>
      </c>
      <c r="J264" s="1">
        <v>1.345</v>
      </c>
      <c r="K264" s="1">
        <v>79966</v>
      </c>
      <c r="L264" s="1">
        <v>79970</v>
      </c>
      <c r="M264" s="2">
        <f t="shared" si="36"/>
        <v>1.00005002125904</v>
      </c>
      <c r="N264" s="1">
        <v>119950</v>
      </c>
      <c r="O264" s="2">
        <f t="shared" si="37"/>
        <v>1.50001250531476</v>
      </c>
      <c r="P264" s="1">
        <v>59976</v>
      </c>
      <c r="Q264" s="2">
        <f t="shared" si="34"/>
        <v>0.750018757972138</v>
      </c>
      <c r="S264" s="1">
        <f t="shared" si="33"/>
        <v>0.528301886792453</v>
      </c>
      <c r="T264" s="1">
        <f t="shared" si="38"/>
        <v>0.987589810581319</v>
      </c>
      <c r="U264" s="1">
        <f t="shared" si="35"/>
        <v>0.84991568296796</v>
      </c>
      <c r="V264" s="1">
        <f t="shared" si="39"/>
        <v>1.02162162162162</v>
      </c>
      <c r="W264" s="1">
        <f t="shared" si="40"/>
        <v>1.12416356877323</v>
      </c>
    </row>
    <row r="265" spans="1:23">
      <c r="A265" s="1" t="s">
        <v>282</v>
      </c>
      <c r="B265" s="1">
        <v>256000</v>
      </c>
      <c r="C265" s="1">
        <v>256000</v>
      </c>
      <c r="D265" s="1">
        <v>1766400</v>
      </c>
      <c r="E265" s="1">
        <v>39.234</v>
      </c>
      <c r="F265" s="1">
        <v>42.61</v>
      </c>
      <c r="G265" s="1">
        <v>39.121</v>
      </c>
      <c r="H265" s="1">
        <v>60.168</v>
      </c>
      <c r="I265" s="1">
        <v>37.838</v>
      </c>
      <c r="J265" s="1">
        <v>36.675</v>
      </c>
      <c r="K265" s="1">
        <v>1766400</v>
      </c>
      <c r="L265" s="1">
        <v>1766604</v>
      </c>
      <c r="M265" s="2">
        <f t="shared" si="36"/>
        <v>1.00011548913043</v>
      </c>
      <c r="N265" s="1">
        <v>3020800</v>
      </c>
      <c r="O265" s="2">
        <f t="shared" si="37"/>
        <v>1.71014492753623</v>
      </c>
      <c r="P265" s="1">
        <v>1014400</v>
      </c>
      <c r="Q265" s="2">
        <f t="shared" si="34"/>
        <v>0.574275362318841</v>
      </c>
      <c r="S265" s="1">
        <f t="shared" ref="S265:S328" si="41">E265/F265</f>
        <v>0.920769772353908</v>
      </c>
      <c r="T265" s="1">
        <f t="shared" si="38"/>
        <v>1.00288847422101</v>
      </c>
      <c r="U265" s="1">
        <f t="shared" si="35"/>
        <v>0.652074192261667</v>
      </c>
      <c r="V265" s="1">
        <f t="shared" si="39"/>
        <v>1.0368941275966</v>
      </c>
      <c r="W265" s="1">
        <f t="shared" si="40"/>
        <v>1.06977505112474</v>
      </c>
    </row>
    <row r="266" spans="1:23">
      <c r="A266" s="1" t="s">
        <v>283</v>
      </c>
      <c r="B266" s="1">
        <v>11999</v>
      </c>
      <c r="C266" s="1">
        <v>11999</v>
      </c>
      <c r="D266" s="1">
        <v>95977</v>
      </c>
      <c r="E266" s="1">
        <v>1.652</v>
      </c>
      <c r="F266" s="1">
        <v>1.783</v>
      </c>
      <c r="G266" s="1">
        <v>1.567</v>
      </c>
      <c r="H266" s="1">
        <v>1.393</v>
      </c>
      <c r="I266" s="1">
        <v>1.413</v>
      </c>
      <c r="J266" s="1">
        <v>1.712</v>
      </c>
      <c r="K266" s="1">
        <v>95977</v>
      </c>
      <c r="L266" s="1">
        <v>95974</v>
      </c>
      <c r="M266" s="2">
        <f t="shared" si="36"/>
        <v>0.999968742511227</v>
      </c>
      <c r="N266" s="1">
        <v>107976</v>
      </c>
      <c r="O266" s="2">
        <f t="shared" si="37"/>
        <v>1.12501953593048</v>
      </c>
      <c r="P266" s="1">
        <v>59986</v>
      </c>
      <c r="Q266" s="2">
        <f t="shared" si="34"/>
        <v>0.625003907186097</v>
      </c>
      <c r="S266" s="1">
        <f t="shared" si="41"/>
        <v>0.926528323051038</v>
      </c>
      <c r="T266" s="1">
        <f t="shared" si="38"/>
        <v>1.05424377791959</v>
      </c>
      <c r="U266" s="1">
        <f t="shared" si="35"/>
        <v>1.18592964824121</v>
      </c>
      <c r="V266" s="1">
        <f t="shared" si="39"/>
        <v>1.16914366595895</v>
      </c>
      <c r="W266" s="1">
        <f t="shared" si="40"/>
        <v>0.964953271028037</v>
      </c>
    </row>
    <row r="267" spans="1:23">
      <c r="A267" s="1" t="s">
        <v>284</v>
      </c>
      <c r="B267" s="1">
        <v>1470152</v>
      </c>
      <c r="C267" s="1">
        <v>1470152</v>
      </c>
      <c r="D267" s="1">
        <v>87088992</v>
      </c>
      <c r="E267" s="1">
        <v>2291.57</v>
      </c>
      <c r="F267" s="1">
        <v>1950.23</v>
      </c>
      <c r="G267" s="1">
        <v>1964.34</v>
      </c>
      <c r="H267" s="1">
        <v>1482.22</v>
      </c>
      <c r="I267" s="1">
        <v>1025.92</v>
      </c>
      <c r="J267" s="1">
        <v>1139.62</v>
      </c>
      <c r="K267" s="1">
        <v>87088992</v>
      </c>
      <c r="L267" s="1">
        <v>87088992</v>
      </c>
      <c r="M267" s="2">
        <f t="shared" si="36"/>
        <v>1</v>
      </c>
      <c r="N267" s="1">
        <v>87088992</v>
      </c>
      <c r="O267" s="2">
        <f t="shared" si="37"/>
        <v>1</v>
      </c>
      <c r="P267" s="1">
        <v>45014648</v>
      </c>
      <c r="Q267" s="2">
        <f t="shared" si="34"/>
        <v>0.516881031301866</v>
      </c>
      <c r="S267" s="1">
        <f t="shared" si="41"/>
        <v>1.17502550981166</v>
      </c>
      <c r="T267" s="1">
        <f t="shared" si="38"/>
        <v>1.16658521437226</v>
      </c>
      <c r="U267" s="1">
        <f t="shared" si="35"/>
        <v>1.54603904953381</v>
      </c>
      <c r="V267" s="1">
        <f t="shared" si="39"/>
        <v>2.23367319089208</v>
      </c>
      <c r="W267" s="1">
        <f t="shared" si="40"/>
        <v>2.010819395939</v>
      </c>
    </row>
    <row r="268" spans="1:23">
      <c r="A268" s="1" t="s">
        <v>285</v>
      </c>
      <c r="B268" s="1">
        <v>1470152</v>
      </c>
      <c r="C268" s="1">
        <v>1470152</v>
      </c>
      <c r="D268" s="1">
        <v>87088992</v>
      </c>
      <c r="E268" s="1">
        <v>2291.51</v>
      </c>
      <c r="F268" s="1">
        <v>1949.62</v>
      </c>
      <c r="G268" s="1">
        <v>1968.03</v>
      </c>
      <c r="H268" s="1">
        <v>1493.84</v>
      </c>
      <c r="I268" s="1">
        <v>1145.99</v>
      </c>
      <c r="J268" s="1">
        <v>1149.07</v>
      </c>
      <c r="K268" s="1">
        <v>87088992</v>
      </c>
      <c r="L268" s="1">
        <v>87088992</v>
      </c>
      <c r="M268" s="2">
        <f t="shared" si="36"/>
        <v>1</v>
      </c>
      <c r="N268" s="1">
        <v>87088992</v>
      </c>
      <c r="O268" s="2">
        <f t="shared" si="37"/>
        <v>1</v>
      </c>
      <c r="P268" s="1">
        <v>45014648</v>
      </c>
      <c r="Q268" s="2">
        <f t="shared" si="34"/>
        <v>0.516881031301866</v>
      </c>
      <c r="S268" s="1">
        <f t="shared" si="41"/>
        <v>1.17536237830962</v>
      </c>
      <c r="T268" s="1">
        <f t="shared" si="38"/>
        <v>1.16436741309838</v>
      </c>
      <c r="U268" s="1">
        <f t="shared" si="35"/>
        <v>1.53397284849783</v>
      </c>
      <c r="V268" s="1">
        <f t="shared" si="39"/>
        <v>1.99958987425719</v>
      </c>
      <c r="W268" s="1">
        <f t="shared" si="40"/>
        <v>1.99423011652902</v>
      </c>
    </row>
    <row r="269" spans="1:23">
      <c r="A269" s="1" t="s">
        <v>286</v>
      </c>
      <c r="B269" s="1">
        <v>18260</v>
      </c>
      <c r="C269" s="1">
        <v>18260</v>
      </c>
      <c r="D269" s="1">
        <v>222005</v>
      </c>
      <c r="E269" s="1">
        <v>4.107</v>
      </c>
      <c r="F269" s="1">
        <v>4.153</v>
      </c>
      <c r="G269" s="1">
        <v>3.646</v>
      </c>
      <c r="H269" s="1">
        <v>4.668</v>
      </c>
      <c r="I269" s="1">
        <v>2.835</v>
      </c>
      <c r="J269" s="1">
        <v>3.889</v>
      </c>
      <c r="K269" s="1">
        <v>222005</v>
      </c>
      <c r="L269" s="1">
        <v>222136</v>
      </c>
      <c r="M269" s="2">
        <f t="shared" si="36"/>
        <v>1.00059007680007</v>
      </c>
      <c r="N269" s="1">
        <v>338712</v>
      </c>
      <c r="O269" s="2">
        <f t="shared" si="37"/>
        <v>1.52569536722146</v>
      </c>
      <c r="P269" s="1">
        <v>125036</v>
      </c>
      <c r="Q269" s="2">
        <f t="shared" si="34"/>
        <v>0.563212540258102</v>
      </c>
      <c r="S269" s="1">
        <f t="shared" si="41"/>
        <v>0.988923669636408</v>
      </c>
      <c r="T269" s="1">
        <f t="shared" si="38"/>
        <v>1.12643993417444</v>
      </c>
      <c r="U269" s="1">
        <f t="shared" si="35"/>
        <v>0.879820051413882</v>
      </c>
      <c r="V269" s="1">
        <f t="shared" si="39"/>
        <v>1.44867724867725</v>
      </c>
      <c r="W269" s="1">
        <f t="shared" si="40"/>
        <v>1.05605554127025</v>
      </c>
    </row>
    <row r="270" spans="1:23">
      <c r="A270" s="1" t="s">
        <v>287</v>
      </c>
      <c r="B270" s="1">
        <v>18368</v>
      </c>
      <c r="C270" s="1">
        <v>18368</v>
      </c>
      <c r="D270" s="1">
        <v>223801</v>
      </c>
      <c r="E270" s="1">
        <v>4.167</v>
      </c>
      <c r="F270" s="1">
        <v>4.184</v>
      </c>
      <c r="G270" s="1">
        <v>3.742</v>
      </c>
      <c r="H270" s="1">
        <v>4.773</v>
      </c>
      <c r="I270" s="1">
        <v>2.872</v>
      </c>
      <c r="J270" s="1">
        <v>3.899</v>
      </c>
      <c r="K270" s="1">
        <v>223801</v>
      </c>
      <c r="L270" s="1">
        <v>223932</v>
      </c>
      <c r="M270" s="2">
        <f t="shared" si="36"/>
        <v>1.00058534144173</v>
      </c>
      <c r="N270" s="1">
        <v>341184</v>
      </c>
      <c r="O270" s="2">
        <f t="shared" si="37"/>
        <v>1.52449720957458</v>
      </c>
      <c r="P270" s="1">
        <v>125968</v>
      </c>
      <c r="Q270" s="2">
        <f t="shared" si="34"/>
        <v>0.562857181156474</v>
      </c>
      <c r="S270" s="1">
        <f t="shared" si="41"/>
        <v>0.99593690248566</v>
      </c>
      <c r="T270" s="1">
        <f t="shared" si="38"/>
        <v>1.11357562800641</v>
      </c>
      <c r="U270" s="1">
        <f t="shared" si="35"/>
        <v>0.873035826524199</v>
      </c>
      <c r="V270" s="1">
        <f t="shared" si="39"/>
        <v>1.45090529247911</v>
      </c>
      <c r="W270" s="1">
        <f t="shared" si="40"/>
        <v>1.0687355732239</v>
      </c>
    </row>
    <row r="271" spans="1:23">
      <c r="A271" s="1" t="s">
        <v>288</v>
      </c>
      <c r="B271" s="1">
        <v>18458</v>
      </c>
      <c r="C271" s="1">
        <v>18458</v>
      </c>
      <c r="D271" s="1">
        <v>224593</v>
      </c>
      <c r="E271" s="1">
        <v>4.112</v>
      </c>
      <c r="F271" s="1">
        <v>4.173</v>
      </c>
      <c r="G271" s="1">
        <v>3.798</v>
      </c>
      <c r="H271" s="1">
        <v>4.885</v>
      </c>
      <c r="I271" s="1">
        <v>2.882</v>
      </c>
      <c r="J271" s="1">
        <v>3.686</v>
      </c>
      <c r="K271" s="1">
        <v>224593</v>
      </c>
      <c r="L271" s="1">
        <v>224726</v>
      </c>
      <c r="M271" s="2">
        <f t="shared" si="36"/>
        <v>1.0005921823031</v>
      </c>
      <c r="N271" s="1">
        <v>342546</v>
      </c>
      <c r="O271" s="2">
        <f t="shared" si="37"/>
        <v>1.5251855578758</v>
      </c>
      <c r="P271" s="1">
        <v>126438</v>
      </c>
      <c r="Q271" s="2">
        <f t="shared" ref="Q271:Q334" si="42">P271/K271</f>
        <v>0.562965007814135</v>
      </c>
      <c r="S271" s="1">
        <f t="shared" si="41"/>
        <v>0.985382219027079</v>
      </c>
      <c r="T271" s="1">
        <f t="shared" si="38"/>
        <v>1.08267509215377</v>
      </c>
      <c r="U271" s="1">
        <f t="shared" si="35"/>
        <v>0.841760491299898</v>
      </c>
      <c r="V271" s="1">
        <f t="shared" si="39"/>
        <v>1.42678695350451</v>
      </c>
      <c r="W271" s="1">
        <f t="shared" si="40"/>
        <v>1.11557243624525</v>
      </c>
    </row>
    <row r="272" spans="1:23">
      <c r="A272" s="1" t="s">
        <v>289</v>
      </c>
      <c r="B272" s="1">
        <v>18476</v>
      </c>
      <c r="C272" s="1">
        <v>18476</v>
      </c>
      <c r="D272" s="1">
        <v>224897</v>
      </c>
      <c r="E272" s="1">
        <v>4.134</v>
      </c>
      <c r="F272" s="1">
        <v>4.183</v>
      </c>
      <c r="G272" s="1">
        <v>3.806</v>
      </c>
      <c r="H272" s="1">
        <v>4.731</v>
      </c>
      <c r="I272" s="1">
        <v>2.873</v>
      </c>
      <c r="J272" s="1">
        <v>3.8</v>
      </c>
      <c r="K272" s="1">
        <v>224897</v>
      </c>
      <c r="L272" s="1">
        <v>225018</v>
      </c>
      <c r="M272" s="2">
        <f t="shared" si="36"/>
        <v>1.00053802407324</v>
      </c>
      <c r="N272" s="1">
        <v>342970</v>
      </c>
      <c r="O272" s="2">
        <f t="shared" si="37"/>
        <v>1.52500922644588</v>
      </c>
      <c r="P272" s="1">
        <v>126598</v>
      </c>
      <c r="Q272" s="2">
        <f t="shared" si="42"/>
        <v>0.562915467969782</v>
      </c>
      <c r="S272" s="1">
        <f t="shared" si="41"/>
        <v>0.988285919196749</v>
      </c>
      <c r="T272" s="1">
        <f t="shared" si="38"/>
        <v>1.08617971623752</v>
      </c>
      <c r="U272" s="1">
        <f t="shared" si="35"/>
        <v>0.873811033608117</v>
      </c>
      <c r="V272" s="1">
        <f t="shared" si="39"/>
        <v>1.43891402714932</v>
      </c>
      <c r="W272" s="1">
        <f t="shared" si="40"/>
        <v>1.08789473684211</v>
      </c>
    </row>
    <row r="273" spans="1:23">
      <c r="A273" s="1" t="s">
        <v>290</v>
      </c>
      <c r="B273" s="1">
        <v>7064</v>
      </c>
      <c r="C273" s="1">
        <v>7064</v>
      </c>
      <c r="D273" s="1">
        <v>80645</v>
      </c>
      <c r="E273" s="1">
        <v>1.421</v>
      </c>
      <c r="F273" s="1">
        <v>1.373</v>
      </c>
      <c r="G273" s="1">
        <v>1.217</v>
      </c>
      <c r="H273" s="1">
        <v>1.607</v>
      </c>
      <c r="I273" s="1">
        <v>0.967</v>
      </c>
      <c r="J273" s="1">
        <v>1.347</v>
      </c>
      <c r="K273" s="1">
        <v>80645</v>
      </c>
      <c r="L273" s="1">
        <v>80710</v>
      </c>
      <c r="M273" s="2">
        <f t="shared" si="36"/>
        <v>1.000806001612</v>
      </c>
      <c r="N273" s="1">
        <v>125646</v>
      </c>
      <c r="O273" s="2">
        <f t="shared" si="37"/>
        <v>1.55801351602703</v>
      </c>
      <c r="P273" s="1">
        <v>45492</v>
      </c>
      <c r="Q273" s="2">
        <f t="shared" si="42"/>
        <v>0.564101928203856</v>
      </c>
      <c r="S273" s="1">
        <f t="shared" si="41"/>
        <v>1.03495994173343</v>
      </c>
      <c r="T273" s="1">
        <f t="shared" si="38"/>
        <v>1.16762530813476</v>
      </c>
      <c r="U273" s="1">
        <f t="shared" si="35"/>
        <v>0.884256378344742</v>
      </c>
      <c r="V273" s="1">
        <f t="shared" si="39"/>
        <v>1.46949327817994</v>
      </c>
      <c r="W273" s="1">
        <f t="shared" si="40"/>
        <v>1.05493689680772</v>
      </c>
    </row>
    <row r="274" spans="1:23">
      <c r="A274" s="1" t="s">
        <v>291</v>
      </c>
      <c r="B274" s="1">
        <v>13562</v>
      </c>
      <c r="C274" s="1">
        <v>13562</v>
      </c>
      <c r="D274" s="1">
        <v>160947</v>
      </c>
      <c r="E274" s="1">
        <v>2.904</v>
      </c>
      <c r="F274" s="1">
        <v>2.884</v>
      </c>
      <c r="G274" s="1">
        <v>2.574</v>
      </c>
      <c r="H274" s="1">
        <v>3.277</v>
      </c>
      <c r="I274" s="1">
        <v>1.989</v>
      </c>
      <c r="J274" s="1">
        <v>2.688</v>
      </c>
      <c r="K274" s="1">
        <v>160947</v>
      </c>
      <c r="L274" s="1">
        <v>161074</v>
      </c>
      <c r="M274" s="2">
        <f t="shared" si="36"/>
        <v>1.00078907963491</v>
      </c>
      <c r="N274" s="1">
        <v>247542</v>
      </c>
      <c r="O274" s="2">
        <f t="shared" si="37"/>
        <v>1.53803425972525</v>
      </c>
      <c r="P274" s="1">
        <v>90466</v>
      </c>
      <c r="Q274" s="2">
        <f t="shared" si="42"/>
        <v>0.562085655526353</v>
      </c>
      <c r="S274" s="1">
        <f t="shared" si="41"/>
        <v>1.00693481276006</v>
      </c>
      <c r="T274" s="1">
        <f t="shared" si="38"/>
        <v>1.12820512820513</v>
      </c>
      <c r="U274" s="1">
        <f t="shared" si="35"/>
        <v>0.886176380836131</v>
      </c>
      <c r="V274" s="1">
        <f t="shared" si="39"/>
        <v>1.46003016591252</v>
      </c>
      <c r="W274" s="1">
        <f t="shared" si="40"/>
        <v>1.08035714285714</v>
      </c>
    </row>
    <row r="275" spans="1:23">
      <c r="A275" s="1" t="s">
        <v>292</v>
      </c>
      <c r="B275" s="1">
        <v>16262</v>
      </c>
      <c r="C275" s="1">
        <v>16262</v>
      </c>
      <c r="D275" s="1">
        <v>198369</v>
      </c>
      <c r="E275" s="1">
        <v>3.614</v>
      </c>
      <c r="F275" s="1">
        <v>3.635</v>
      </c>
      <c r="G275" s="1">
        <v>3.277</v>
      </c>
      <c r="H275" s="1">
        <v>4.06</v>
      </c>
      <c r="I275" s="1">
        <v>2.514</v>
      </c>
      <c r="J275" s="1">
        <v>3.413</v>
      </c>
      <c r="K275" s="1">
        <v>198369</v>
      </c>
      <c r="L275" s="1">
        <v>198486</v>
      </c>
      <c r="M275" s="2">
        <f t="shared" si="36"/>
        <v>1.00058980989973</v>
      </c>
      <c r="N275" s="1">
        <v>302278</v>
      </c>
      <c r="O275" s="2">
        <f t="shared" si="37"/>
        <v>1.5238167253956</v>
      </c>
      <c r="P275" s="1">
        <v>111672</v>
      </c>
      <c r="Q275" s="2">
        <f t="shared" si="42"/>
        <v>0.562950864298353</v>
      </c>
      <c r="S275" s="1">
        <f t="shared" si="41"/>
        <v>0.994222833562586</v>
      </c>
      <c r="T275" s="1">
        <f t="shared" si="38"/>
        <v>1.1028379615502</v>
      </c>
      <c r="U275" s="1">
        <f t="shared" ref="U275:U338" si="43">E275/H275</f>
        <v>0.890147783251232</v>
      </c>
      <c r="V275" s="1">
        <f t="shared" si="39"/>
        <v>1.43754972155927</v>
      </c>
      <c r="W275" s="1">
        <f t="shared" si="40"/>
        <v>1.05889246996777</v>
      </c>
    </row>
    <row r="276" spans="1:23">
      <c r="A276" s="1" t="s">
        <v>293</v>
      </c>
      <c r="B276" s="1">
        <v>16928</v>
      </c>
      <c r="C276" s="1">
        <v>16928</v>
      </c>
      <c r="D276" s="1">
        <v>207349</v>
      </c>
      <c r="E276" s="1">
        <v>3.779</v>
      </c>
      <c r="F276" s="1">
        <v>3.819</v>
      </c>
      <c r="G276" s="1">
        <v>3.383</v>
      </c>
      <c r="H276" s="1">
        <v>4.261</v>
      </c>
      <c r="I276" s="1">
        <v>2.644</v>
      </c>
      <c r="J276" s="1">
        <v>3.551</v>
      </c>
      <c r="K276" s="1">
        <v>207349</v>
      </c>
      <c r="L276" s="1">
        <v>207466</v>
      </c>
      <c r="M276" s="2">
        <f t="shared" si="36"/>
        <v>1.00056426604421</v>
      </c>
      <c r="N276" s="1">
        <v>315532</v>
      </c>
      <c r="O276" s="2">
        <f t="shared" si="37"/>
        <v>1.52174353384873</v>
      </c>
      <c r="P276" s="1">
        <v>116686</v>
      </c>
      <c r="Q276" s="2">
        <f t="shared" si="42"/>
        <v>0.562751689181043</v>
      </c>
      <c r="S276" s="1">
        <f t="shared" si="41"/>
        <v>0.989526053940822</v>
      </c>
      <c r="T276" s="1">
        <f t="shared" si="38"/>
        <v>1.11705586757316</v>
      </c>
      <c r="U276" s="1">
        <f t="shared" si="43"/>
        <v>0.886881013846515</v>
      </c>
      <c r="V276" s="1">
        <f t="shared" si="39"/>
        <v>1.42927382753404</v>
      </c>
      <c r="W276" s="1">
        <f t="shared" si="40"/>
        <v>1.064207265559</v>
      </c>
    </row>
    <row r="277" spans="1:23">
      <c r="A277" s="1" t="s">
        <v>294</v>
      </c>
      <c r="B277" s="1">
        <v>17378</v>
      </c>
      <c r="C277" s="1">
        <v>17378</v>
      </c>
      <c r="D277" s="1">
        <v>211561</v>
      </c>
      <c r="E277" s="1">
        <v>3.935</v>
      </c>
      <c r="F277" s="1">
        <v>3.964</v>
      </c>
      <c r="G277" s="1">
        <v>3.498</v>
      </c>
      <c r="H277" s="1">
        <v>4.546</v>
      </c>
      <c r="I277" s="1">
        <v>2.699</v>
      </c>
      <c r="J277" s="1">
        <v>3.772</v>
      </c>
      <c r="K277" s="1">
        <v>211561</v>
      </c>
      <c r="L277" s="1">
        <v>211680</v>
      </c>
      <c r="M277" s="2">
        <f t="shared" si="36"/>
        <v>1.00056248552427</v>
      </c>
      <c r="N277" s="1">
        <v>322628</v>
      </c>
      <c r="O277" s="2">
        <f t="shared" si="37"/>
        <v>1.52498806490799</v>
      </c>
      <c r="P277" s="1">
        <v>119150</v>
      </c>
      <c r="Q277" s="2">
        <f t="shared" si="42"/>
        <v>0.563194539636322</v>
      </c>
      <c r="S277" s="1">
        <f t="shared" si="41"/>
        <v>0.992684157416751</v>
      </c>
      <c r="T277" s="1">
        <f t="shared" si="38"/>
        <v>1.12492853058891</v>
      </c>
      <c r="U277" s="1">
        <f t="shared" si="43"/>
        <v>0.865596128464584</v>
      </c>
      <c r="V277" s="1">
        <f t="shared" si="39"/>
        <v>1.45794738792145</v>
      </c>
      <c r="W277" s="1">
        <f t="shared" si="40"/>
        <v>1.0432131495228</v>
      </c>
    </row>
    <row r="278" spans="1:23">
      <c r="A278" s="1" t="s">
        <v>295</v>
      </c>
      <c r="B278" s="1">
        <v>17702</v>
      </c>
      <c r="C278" s="1">
        <v>17702</v>
      </c>
      <c r="D278" s="1">
        <v>216445</v>
      </c>
      <c r="E278" s="1">
        <v>4.037</v>
      </c>
      <c r="F278" s="1">
        <v>4.075</v>
      </c>
      <c r="G278" s="1">
        <v>3.59</v>
      </c>
      <c r="H278" s="1">
        <v>4.669</v>
      </c>
      <c r="I278" s="1">
        <v>2.767</v>
      </c>
      <c r="J278" s="1">
        <v>3.858</v>
      </c>
      <c r="K278" s="1">
        <v>216445</v>
      </c>
      <c r="L278" s="1">
        <v>216576</v>
      </c>
      <c r="M278" s="2">
        <f t="shared" si="36"/>
        <v>1.00060523458615</v>
      </c>
      <c r="N278" s="1">
        <v>329582</v>
      </c>
      <c r="O278" s="2">
        <f t="shared" si="37"/>
        <v>1.52270553720345</v>
      </c>
      <c r="P278" s="1">
        <v>121826</v>
      </c>
      <c r="Q278" s="2">
        <f t="shared" si="42"/>
        <v>0.562849684677401</v>
      </c>
      <c r="S278" s="1">
        <f t="shared" si="41"/>
        <v>0.990674846625767</v>
      </c>
      <c r="T278" s="1">
        <f t="shared" si="38"/>
        <v>1.12451253481894</v>
      </c>
      <c r="U278" s="1">
        <f t="shared" si="43"/>
        <v>0.86463910901692</v>
      </c>
      <c r="V278" s="1">
        <f t="shared" si="39"/>
        <v>1.45898084568124</v>
      </c>
      <c r="W278" s="1">
        <f t="shared" si="40"/>
        <v>1.04639709694142</v>
      </c>
    </row>
    <row r="279" spans="1:23">
      <c r="A279" s="1" t="s">
        <v>296</v>
      </c>
      <c r="B279" s="1">
        <v>18044</v>
      </c>
      <c r="C279" s="1">
        <v>18044</v>
      </c>
      <c r="D279" s="1">
        <v>219589</v>
      </c>
      <c r="E279" s="1">
        <v>4.065</v>
      </c>
      <c r="F279" s="1">
        <v>4.083</v>
      </c>
      <c r="G279" s="1">
        <v>3.648</v>
      </c>
      <c r="H279" s="1">
        <v>4.568</v>
      </c>
      <c r="I279" s="1">
        <v>2.791</v>
      </c>
      <c r="J279" s="1">
        <v>3.859</v>
      </c>
      <c r="K279" s="1">
        <v>219589</v>
      </c>
      <c r="L279" s="1">
        <v>219710</v>
      </c>
      <c r="M279" s="2">
        <f t="shared" si="36"/>
        <v>1.00055102942315</v>
      </c>
      <c r="N279" s="1">
        <v>334902</v>
      </c>
      <c r="O279" s="2">
        <f t="shared" si="37"/>
        <v>1.52513104026158</v>
      </c>
      <c r="P279" s="1">
        <v>123668</v>
      </c>
      <c r="Q279" s="2">
        <f t="shared" si="42"/>
        <v>0.563179394231952</v>
      </c>
      <c r="S279" s="1">
        <f t="shared" si="41"/>
        <v>0.995591476855254</v>
      </c>
      <c r="T279" s="1">
        <f t="shared" si="38"/>
        <v>1.11430921052632</v>
      </c>
      <c r="U279" s="1">
        <f t="shared" si="43"/>
        <v>0.889886164623468</v>
      </c>
      <c r="V279" s="1">
        <f t="shared" si="39"/>
        <v>1.45646721605159</v>
      </c>
      <c r="W279" s="1">
        <f t="shared" si="40"/>
        <v>1.05338170510495</v>
      </c>
    </row>
    <row r="280" spans="1:23">
      <c r="A280" s="1" t="s">
        <v>297</v>
      </c>
      <c r="B280" s="1">
        <v>11107</v>
      </c>
      <c r="C280" s="1">
        <v>11107</v>
      </c>
      <c r="D280" s="1">
        <v>6639</v>
      </c>
      <c r="E280" s="1">
        <v>0.253</v>
      </c>
      <c r="F280" s="1">
        <v>0.286</v>
      </c>
      <c r="G280" s="1">
        <v>0.259</v>
      </c>
      <c r="H280" s="1">
        <v>0.347</v>
      </c>
      <c r="I280" s="1">
        <v>0.314</v>
      </c>
      <c r="J280" s="1">
        <v>0.276</v>
      </c>
      <c r="K280" s="1">
        <v>6639</v>
      </c>
      <c r="L280" s="1">
        <v>6650</v>
      </c>
      <c r="M280" s="2">
        <f t="shared" si="36"/>
        <v>1.00165687603555</v>
      </c>
      <c r="N280" s="1">
        <v>13278</v>
      </c>
      <c r="O280" s="2">
        <f t="shared" si="37"/>
        <v>2</v>
      </c>
      <c r="P280" s="1">
        <v>11106</v>
      </c>
      <c r="Q280" s="2">
        <f t="shared" si="42"/>
        <v>1.67284229552643</v>
      </c>
      <c r="S280" s="1">
        <f t="shared" si="41"/>
        <v>0.884615384615385</v>
      </c>
      <c r="T280" s="1">
        <f t="shared" si="38"/>
        <v>0.976833976833977</v>
      </c>
      <c r="U280" s="1">
        <f t="shared" si="43"/>
        <v>0.729106628242075</v>
      </c>
      <c r="V280" s="1">
        <f t="shared" si="39"/>
        <v>0.805732484076433</v>
      </c>
      <c r="W280" s="1">
        <f t="shared" si="40"/>
        <v>0.916666666666667</v>
      </c>
    </row>
    <row r="281" spans="1:23">
      <c r="A281" s="1" t="s">
        <v>298</v>
      </c>
      <c r="B281" s="1">
        <v>38434</v>
      </c>
      <c r="C281" s="1">
        <v>38434</v>
      </c>
      <c r="D281" s="1">
        <v>206156</v>
      </c>
      <c r="E281" s="1">
        <v>4.539</v>
      </c>
      <c r="F281" s="1">
        <v>5.272</v>
      </c>
      <c r="G281" s="1">
        <v>4.452</v>
      </c>
      <c r="H281" s="1">
        <v>6.539</v>
      </c>
      <c r="I281" s="1">
        <v>6.672</v>
      </c>
      <c r="J281" s="1">
        <v>4.783</v>
      </c>
      <c r="K281" s="1">
        <v>206156</v>
      </c>
      <c r="L281" s="1">
        <v>206158</v>
      </c>
      <c r="M281" s="2">
        <f t="shared" si="36"/>
        <v>1.00000970139118</v>
      </c>
      <c r="N281" s="1">
        <v>342812</v>
      </c>
      <c r="O281" s="2">
        <f t="shared" si="37"/>
        <v>1.66287665651254</v>
      </c>
      <c r="P281" s="1">
        <v>180390</v>
      </c>
      <c r="Q281" s="2">
        <f t="shared" si="42"/>
        <v>0.875016977434564</v>
      </c>
      <c r="S281" s="1">
        <f t="shared" si="41"/>
        <v>0.860963581183611</v>
      </c>
      <c r="T281" s="1">
        <f t="shared" si="38"/>
        <v>1.01954177897574</v>
      </c>
      <c r="U281" s="1">
        <f t="shared" si="43"/>
        <v>0.694142835295917</v>
      </c>
      <c r="V281" s="1">
        <f t="shared" si="39"/>
        <v>0.680305755395683</v>
      </c>
      <c r="W281" s="1">
        <f t="shared" si="40"/>
        <v>0.948985992055195</v>
      </c>
    </row>
    <row r="282" spans="1:23">
      <c r="A282" s="1" t="s">
        <v>299</v>
      </c>
      <c r="B282" s="1">
        <v>389874</v>
      </c>
      <c r="C282" s="1">
        <v>389874</v>
      </c>
      <c r="D282" s="1">
        <v>2101242</v>
      </c>
      <c r="E282" s="1">
        <v>82.389</v>
      </c>
      <c r="F282" s="1">
        <v>92.992</v>
      </c>
      <c r="G282" s="1">
        <v>86.202</v>
      </c>
      <c r="H282" s="1">
        <v>113.243</v>
      </c>
      <c r="I282" s="1">
        <v>96.109</v>
      </c>
      <c r="J282" s="1">
        <v>77.233</v>
      </c>
      <c r="K282" s="1">
        <v>2101242</v>
      </c>
      <c r="L282" s="1">
        <v>2101244</v>
      </c>
      <c r="M282" s="2">
        <f t="shared" si="36"/>
        <v>1.00000095181802</v>
      </c>
      <c r="N282" s="1">
        <v>3488170</v>
      </c>
      <c r="O282" s="2">
        <f t="shared" si="37"/>
        <v>1.6600515314276</v>
      </c>
      <c r="P282" s="1">
        <v>1834902</v>
      </c>
      <c r="Q282" s="2">
        <f t="shared" si="42"/>
        <v>0.873246394275386</v>
      </c>
      <c r="S282" s="1">
        <f t="shared" si="41"/>
        <v>0.885979439091535</v>
      </c>
      <c r="T282" s="1">
        <f t="shared" si="38"/>
        <v>0.955766687547853</v>
      </c>
      <c r="U282" s="1">
        <f t="shared" si="43"/>
        <v>0.727541658204039</v>
      </c>
      <c r="V282" s="1">
        <f t="shared" si="39"/>
        <v>0.857245419263544</v>
      </c>
      <c r="W282" s="1">
        <f t="shared" si="40"/>
        <v>1.06675902787668</v>
      </c>
    </row>
    <row r="283" spans="1:23">
      <c r="A283" s="1" t="s">
        <v>300</v>
      </c>
      <c r="B283" s="1">
        <v>5860</v>
      </c>
      <c r="C283" s="1">
        <v>5860</v>
      </c>
      <c r="D283" s="1">
        <v>46842</v>
      </c>
      <c r="E283" s="1">
        <v>0.865</v>
      </c>
      <c r="F283" s="1">
        <v>0.97</v>
      </c>
      <c r="G283" s="1">
        <v>0.736</v>
      </c>
      <c r="H283" s="1">
        <v>0.937</v>
      </c>
      <c r="I283" s="1">
        <v>0.748</v>
      </c>
      <c r="J283" s="1">
        <v>0.861</v>
      </c>
      <c r="K283" s="1">
        <v>46842</v>
      </c>
      <c r="L283" s="1">
        <v>48274</v>
      </c>
      <c r="M283" s="2">
        <f t="shared" si="36"/>
        <v>1.0305708552154</v>
      </c>
      <c r="N283" s="1">
        <v>72452</v>
      </c>
      <c r="O283" s="2">
        <f t="shared" si="37"/>
        <v>1.54673156568891</v>
      </c>
      <c r="P283" s="1">
        <v>33220</v>
      </c>
      <c r="Q283" s="2">
        <f t="shared" si="42"/>
        <v>0.709192604927202</v>
      </c>
      <c r="S283" s="1">
        <f t="shared" si="41"/>
        <v>0.891752577319588</v>
      </c>
      <c r="T283" s="1">
        <f t="shared" si="38"/>
        <v>1.17527173913043</v>
      </c>
      <c r="U283" s="1">
        <f t="shared" si="43"/>
        <v>0.923159018143009</v>
      </c>
      <c r="V283" s="1">
        <f t="shared" si="39"/>
        <v>1.15641711229947</v>
      </c>
      <c r="W283" s="1">
        <f t="shared" si="40"/>
        <v>1.00464576074332</v>
      </c>
    </row>
    <row r="284" spans="1:23">
      <c r="A284" s="1" t="s">
        <v>301</v>
      </c>
      <c r="B284" s="1">
        <v>3200</v>
      </c>
      <c r="C284" s="1">
        <v>3200</v>
      </c>
      <c r="D284" s="1">
        <v>18316</v>
      </c>
      <c r="E284" s="1">
        <v>0.308</v>
      </c>
      <c r="F284" s="1">
        <v>0.373</v>
      </c>
      <c r="G284" s="1">
        <v>0.279</v>
      </c>
      <c r="H284" s="1">
        <v>0.332</v>
      </c>
      <c r="I284" s="1">
        <v>0.269</v>
      </c>
      <c r="J284" s="1">
        <v>0.3</v>
      </c>
      <c r="K284" s="1">
        <v>18316</v>
      </c>
      <c r="L284" s="1">
        <v>18322</v>
      </c>
      <c r="M284" s="2">
        <f t="shared" si="36"/>
        <v>1.00032758244158</v>
      </c>
      <c r="N284" s="1">
        <v>21126</v>
      </c>
      <c r="O284" s="2">
        <f t="shared" si="37"/>
        <v>1.15341777680716</v>
      </c>
      <c r="P284" s="1">
        <v>12350</v>
      </c>
      <c r="Q284" s="2">
        <f t="shared" si="42"/>
        <v>0.674273858921162</v>
      </c>
      <c r="S284" s="1">
        <f t="shared" si="41"/>
        <v>0.82573726541555</v>
      </c>
      <c r="T284" s="1">
        <f t="shared" si="38"/>
        <v>1.10394265232975</v>
      </c>
      <c r="U284" s="1">
        <f t="shared" si="43"/>
        <v>0.927710843373494</v>
      </c>
      <c r="V284" s="1">
        <f t="shared" si="39"/>
        <v>1.14498141263941</v>
      </c>
      <c r="W284" s="1">
        <f t="shared" si="40"/>
        <v>1.02666666666667</v>
      </c>
    </row>
    <row r="285" spans="1:23">
      <c r="A285" s="1" t="s">
        <v>302</v>
      </c>
      <c r="B285" s="1">
        <v>4800</v>
      </c>
      <c r="C285" s="1">
        <v>4800</v>
      </c>
      <c r="D285" s="1">
        <v>27520</v>
      </c>
      <c r="E285" s="1">
        <v>0.465</v>
      </c>
      <c r="F285" s="1">
        <v>0.563</v>
      </c>
      <c r="G285" s="1">
        <v>0.414</v>
      </c>
      <c r="H285" s="1">
        <v>0.478</v>
      </c>
      <c r="I285" s="1">
        <v>0.403</v>
      </c>
      <c r="J285" s="1">
        <v>0.43</v>
      </c>
      <c r="K285" s="1">
        <v>27520</v>
      </c>
      <c r="L285" s="1">
        <v>27526</v>
      </c>
      <c r="M285" s="2">
        <f t="shared" si="36"/>
        <v>1.00021802325581</v>
      </c>
      <c r="N285" s="1">
        <v>31726</v>
      </c>
      <c r="O285" s="2">
        <f t="shared" si="37"/>
        <v>1.15283430232558</v>
      </c>
      <c r="P285" s="1">
        <v>18554</v>
      </c>
      <c r="Q285" s="2">
        <f t="shared" si="42"/>
        <v>0.674200581395349</v>
      </c>
      <c r="S285" s="1">
        <f t="shared" si="41"/>
        <v>0.825932504440497</v>
      </c>
      <c r="T285" s="1">
        <f t="shared" si="38"/>
        <v>1.1231884057971</v>
      </c>
      <c r="U285" s="1">
        <f t="shared" si="43"/>
        <v>0.972803347280335</v>
      </c>
      <c r="V285" s="1">
        <f t="shared" si="39"/>
        <v>1.15384615384615</v>
      </c>
      <c r="W285" s="1">
        <f t="shared" si="40"/>
        <v>1.08139534883721</v>
      </c>
    </row>
    <row r="286" spans="1:23">
      <c r="A286" s="1" t="s">
        <v>303</v>
      </c>
      <c r="B286" s="1">
        <v>40806</v>
      </c>
      <c r="C286" s="1">
        <v>40806</v>
      </c>
      <c r="D286" s="1">
        <v>203622</v>
      </c>
      <c r="E286" s="1">
        <v>4.287</v>
      </c>
      <c r="F286" s="1">
        <v>8.783</v>
      </c>
      <c r="G286" s="1">
        <v>4.083</v>
      </c>
      <c r="H286" s="1">
        <v>5.572</v>
      </c>
      <c r="I286" s="1">
        <v>3.904</v>
      </c>
      <c r="J286" s="1">
        <v>4.079</v>
      </c>
      <c r="K286" s="1">
        <v>203622</v>
      </c>
      <c r="L286" s="1">
        <v>203628</v>
      </c>
      <c r="M286" s="2">
        <f t="shared" si="36"/>
        <v>1.00002946636415</v>
      </c>
      <c r="N286" s="1">
        <v>324820</v>
      </c>
      <c r="O286" s="2">
        <f t="shared" si="37"/>
        <v>1.59521073361425</v>
      </c>
      <c r="P286" s="1">
        <v>122620</v>
      </c>
      <c r="Q286" s="2">
        <f t="shared" si="42"/>
        <v>0.602194261916689</v>
      </c>
      <c r="S286" s="1">
        <f t="shared" si="41"/>
        <v>0.488102015256746</v>
      </c>
      <c r="T286" s="1">
        <f t="shared" si="38"/>
        <v>1.04996326230713</v>
      </c>
      <c r="U286" s="1">
        <f t="shared" si="43"/>
        <v>0.769382627422828</v>
      </c>
      <c r="V286" s="1">
        <f t="shared" si="39"/>
        <v>1.09810450819672</v>
      </c>
      <c r="W286" s="1">
        <f t="shared" si="40"/>
        <v>1.05099289041432</v>
      </c>
    </row>
    <row r="287" spans="1:23">
      <c r="A287" s="1" t="s">
        <v>304</v>
      </c>
      <c r="B287" s="1">
        <v>10000</v>
      </c>
      <c r="C287" s="1">
        <v>10000</v>
      </c>
      <c r="D287" s="1">
        <v>145600</v>
      </c>
      <c r="E287" s="1">
        <v>2.77</v>
      </c>
      <c r="F287" s="1">
        <v>2.939</v>
      </c>
      <c r="G287" s="1">
        <v>2.452</v>
      </c>
      <c r="H287" s="1">
        <v>4.01</v>
      </c>
      <c r="I287" s="1">
        <v>4.031</v>
      </c>
      <c r="J287" s="1">
        <v>2.6</v>
      </c>
      <c r="K287" s="1">
        <v>145600</v>
      </c>
      <c r="L287" s="1">
        <v>145862</v>
      </c>
      <c r="M287" s="2">
        <f t="shared" si="36"/>
        <v>1.00179945054945</v>
      </c>
      <c r="N287" s="1">
        <v>289440</v>
      </c>
      <c r="O287" s="2">
        <f t="shared" si="37"/>
        <v>1.98791208791209</v>
      </c>
      <c r="P287" s="1">
        <v>153796</v>
      </c>
      <c r="Q287" s="2">
        <f t="shared" si="42"/>
        <v>1.05629120879121</v>
      </c>
      <c r="S287" s="1">
        <f t="shared" si="41"/>
        <v>0.942497448111603</v>
      </c>
      <c r="T287" s="1">
        <f t="shared" si="38"/>
        <v>1.12969004893964</v>
      </c>
      <c r="U287" s="1">
        <f t="shared" si="43"/>
        <v>0.690773067331671</v>
      </c>
      <c r="V287" s="1">
        <f t="shared" si="39"/>
        <v>0.687174398412305</v>
      </c>
      <c r="W287" s="1">
        <f t="shared" si="40"/>
        <v>1.06538461538462</v>
      </c>
    </row>
    <row r="288" spans="1:23">
      <c r="A288" s="1" t="s">
        <v>305</v>
      </c>
      <c r="B288" s="1">
        <v>45101</v>
      </c>
      <c r="C288" s="1">
        <v>45101</v>
      </c>
      <c r="D288" s="1">
        <v>28967291</v>
      </c>
      <c r="E288" s="1">
        <v>1220.37</v>
      </c>
      <c r="F288" s="1">
        <v>1374.46</v>
      </c>
      <c r="G288" s="1">
        <v>1288.03</v>
      </c>
      <c r="H288" s="1">
        <v>1615.15</v>
      </c>
      <c r="I288" s="1">
        <v>1056.17</v>
      </c>
      <c r="J288" s="1">
        <v>994.271</v>
      </c>
      <c r="K288" s="1">
        <v>28967291</v>
      </c>
      <c r="L288" s="1">
        <v>29206384</v>
      </c>
      <c r="M288" s="2">
        <f t="shared" si="36"/>
        <v>1.00825389574745</v>
      </c>
      <c r="N288" s="1">
        <v>52466218</v>
      </c>
      <c r="O288" s="2">
        <f t="shared" si="37"/>
        <v>1.81122280298838</v>
      </c>
      <c r="P288" s="1">
        <v>25006352</v>
      </c>
      <c r="Q288" s="2">
        <f t="shared" si="42"/>
        <v>0.863261669860671</v>
      </c>
      <c r="S288" s="1">
        <f t="shared" si="41"/>
        <v>0.887890517003041</v>
      </c>
      <c r="T288" s="1">
        <f t="shared" si="38"/>
        <v>0.947470167620319</v>
      </c>
      <c r="U288" s="1">
        <f t="shared" si="43"/>
        <v>0.755576881404204</v>
      </c>
      <c r="V288" s="1">
        <f t="shared" si="39"/>
        <v>1.15546739634718</v>
      </c>
      <c r="W288" s="1">
        <f t="shared" si="40"/>
        <v>1.22740178482526</v>
      </c>
    </row>
    <row r="289" spans="1:23">
      <c r="A289" s="1" t="s">
        <v>306</v>
      </c>
      <c r="B289" s="1">
        <v>4515</v>
      </c>
      <c r="C289" s="1">
        <v>4515</v>
      </c>
      <c r="D289" s="1">
        <v>97707</v>
      </c>
      <c r="E289" s="1">
        <v>1.701</v>
      </c>
      <c r="F289" s="1">
        <v>1.531</v>
      </c>
      <c r="G289" s="1">
        <v>1.416</v>
      </c>
      <c r="H289" s="1">
        <v>1.456</v>
      </c>
      <c r="I289" s="1">
        <v>1.097</v>
      </c>
      <c r="J289" s="1">
        <v>1.284</v>
      </c>
      <c r="K289" s="1">
        <v>97707</v>
      </c>
      <c r="L289" s="1">
        <v>97768</v>
      </c>
      <c r="M289" s="2">
        <f t="shared" si="36"/>
        <v>1.00062431555569</v>
      </c>
      <c r="N289" s="1">
        <v>120894</v>
      </c>
      <c r="O289" s="2">
        <f t="shared" si="37"/>
        <v>1.23731155393165</v>
      </c>
      <c r="P289" s="1">
        <v>56302</v>
      </c>
      <c r="Q289" s="2">
        <f t="shared" si="42"/>
        <v>0.576233023222492</v>
      </c>
      <c r="S289" s="1">
        <f t="shared" si="41"/>
        <v>1.11103853690398</v>
      </c>
      <c r="T289" s="1">
        <f t="shared" si="38"/>
        <v>1.20127118644068</v>
      </c>
      <c r="U289" s="1">
        <f t="shared" si="43"/>
        <v>1.16826923076923</v>
      </c>
      <c r="V289" s="1">
        <f t="shared" si="39"/>
        <v>1.55059252506837</v>
      </c>
      <c r="W289" s="1">
        <f t="shared" si="40"/>
        <v>1.32476635514019</v>
      </c>
    </row>
    <row r="290" spans="1:23">
      <c r="A290" s="1" t="s">
        <v>307</v>
      </c>
      <c r="B290" s="1">
        <v>10848</v>
      </c>
      <c r="C290" s="1">
        <v>10848</v>
      </c>
      <c r="D290" s="1">
        <v>1229778</v>
      </c>
      <c r="E290" s="1">
        <v>24.682</v>
      </c>
      <c r="F290" s="1">
        <v>20.743</v>
      </c>
      <c r="G290" s="1">
        <v>19.771</v>
      </c>
      <c r="H290" s="1">
        <v>15.372</v>
      </c>
      <c r="I290" s="1">
        <v>13.513</v>
      </c>
      <c r="J290" s="1">
        <v>13.812</v>
      </c>
      <c r="K290" s="1">
        <v>1229778</v>
      </c>
      <c r="L290" s="1">
        <v>1231560</v>
      </c>
      <c r="M290" s="2">
        <f t="shared" si="36"/>
        <v>1.00144904202222</v>
      </c>
      <c r="N290" s="1">
        <v>1318674</v>
      </c>
      <c r="O290" s="2">
        <f t="shared" si="37"/>
        <v>1.07228621751243</v>
      </c>
      <c r="P290" s="1">
        <v>630734</v>
      </c>
      <c r="Q290" s="2">
        <f t="shared" si="42"/>
        <v>0.512884439305305</v>
      </c>
      <c r="S290" s="1">
        <f t="shared" si="41"/>
        <v>1.18989538639541</v>
      </c>
      <c r="T290" s="1">
        <f t="shared" si="38"/>
        <v>1.24839411258915</v>
      </c>
      <c r="U290" s="1">
        <f t="shared" si="43"/>
        <v>1.60564663023679</v>
      </c>
      <c r="V290" s="1">
        <f t="shared" si="39"/>
        <v>1.82653740842152</v>
      </c>
      <c r="W290" s="1">
        <f t="shared" si="40"/>
        <v>1.78699681436432</v>
      </c>
    </row>
    <row r="291" spans="1:23">
      <c r="A291" s="1" t="s">
        <v>308</v>
      </c>
      <c r="B291" s="1">
        <v>23052</v>
      </c>
      <c r="C291" s="1">
        <v>23052</v>
      </c>
      <c r="D291" s="1">
        <v>1154814</v>
      </c>
      <c r="E291" s="1">
        <v>24.346</v>
      </c>
      <c r="F291" s="1">
        <v>20.38</v>
      </c>
      <c r="G291" s="1">
        <v>21.492</v>
      </c>
      <c r="H291" s="1">
        <v>16.993</v>
      </c>
      <c r="I291" s="1">
        <v>14.383</v>
      </c>
      <c r="J291" s="1">
        <v>16.489</v>
      </c>
      <c r="K291" s="1">
        <v>1154814</v>
      </c>
      <c r="L291" s="1">
        <v>1155594</v>
      </c>
      <c r="M291" s="2">
        <f t="shared" si="36"/>
        <v>1.00067543344643</v>
      </c>
      <c r="N291" s="1">
        <v>1185786</v>
      </c>
      <c r="O291" s="2">
        <f t="shared" si="37"/>
        <v>1.02681990346497</v>
      </c>
      <c r="P291" s="1">
        <v>602470</v>
      </c>
      <c r="Q291" s="2">
        <f t="shared" si="42"/>
        <v>0.521703062138145</v>
      </c>
      <c r="S291" s="1">
        <f t="shared" si="41"/>
        <v>1.1946025515211</v>
      </c>
      <c r="T291" s="1">
        <f t="shared" si="38"/>
        <v>1.13279359761772</v>
      </c>
      <c r="U291" s="1">
        <f t="shared" si="43"/>
        <v>1.43270758547637</v>
      </c>
      <c r="V291" s="1">
        <f t="shared" si="39"/>
        <v>1.69269276228881</v>
      </c>
      <c r="W291" s="1">
        <f t="shared" si="40"/>
        <v>1.47649948450482</v>
      </c>
    </row>
    <row r="292" spans="1:23">
      <c r="A292" s="1" t="s">
        <v>309</v>
      </c>
      <c r="B292" s="1">
        <v>415863</v>
      </c>
      <c r="C292" s="1">
        <v>415863</v>
      </c>
      <c r="D292" s="1">
        <v>20240935</v>
      </c>
      <c r="E292" s="1">
        <v>647.477</v>
      </c>
      <c r="F292" s="1">
        <v>770.081</v>
      </c>
      <c r="G292" s="1">
        <v>507.116</v>
      </c>
      <c r="H292" s="1">
        <v>568.712</v>
      </c>
      <c r="I292" s="1">
        <v>328.036</v>
      </c>
      <c r="J292" s="1">
        <v>342.607</v>
      </c>
      <c r="K292" s="1">
        <v>20240935</v>
      </c>
      <c r="L292" s="1">
        <v>20251210</v>
      </c>
      <c r="M292" s="2">
        <f t="shared" si="36"/>
        <v>1.00050763465225</v>
      </c>
      <c r="N292" s="1">
        <v>21819700</v>
      </c>
      <c r="O292" s="2">
        <f t="shared" si="37"/>
        <v>1.07799862012303</v>
      </c>
      <c r="P292" s="1">
        <v>10585332</v>
      </c>
      <c r="Q292" s="2">
        <f t="shared" si="42"/>
        <v>0.522966552681484</v>
      </c>
      <c r="S292" s="1">
        <f t="shared" si="41"/>
        <v>0.840790773957545</v>
      </c>
      <c r="T292" s="1">
        <f t="shared" si="38"/>
        <v>1.27678282680886</v>
      </c>
      <c r="U292" s="1">
        <f t="shared" si="43"/>
        <v>1.13849716552491</v>
      </c>
      <c r="V292" s="1">
        <f t="shared" si="39"/>
        <v>1.97379860746991</v>
      </c>
      <c r="W292" s="1">
        <f t="shared" si="40"/>
        <v>1.88985338886829</v>
      </c>
    </row>
    <row r="293" spans="1:23">
      <c r="A293" s="1" t="s">
        <v>310</v>
      </c>
      <c r="B293" s="1">
        <v>97578</v>
      </c>
      <c r="C293" s="1">
        <v>97578</v>
      </c>
      <c r="D293" s="1">
        <v>9753570</v>
      </c>
      <c r="E293" s="1">
        <v>254.946</v>
      </c>
      <c r="F293" s="1">
        <v>353.201</v>
      </c>
      <c r="G293" s="1">
        <v>214.009</v>
      </c>
      <c r="H293" s="1">
        <v>166.125</v>
      </c>
      <c r="I293" s="1">
        <v>126.268</v>
      </c>
      <c r="J293" s="1">
        <v>198.262</v>
      </c>
      <c r="K293" s="1">
        <v>9753570</v>
      </c>
      <c r="L293" s="1">
        <v>9760302</v>
      </c>
      <c r="M293" s="2">
        <f t="shared" si="36"/>
        <v>1.00069020881585</v>
      </c>
      <c r="N293" s="1">
        <v>9915534</v>
      </c>
      <c r="O293" s="2">
        <f t="shared" si="37"/>
        <v>1.01660561209895</v>
      </c>
      <c r="P293" s="1">
        <v>4980390</v>
      </c>
      <c r="Q293" s="2">
        <f t="shared" si="42"/>
        <v>0.510622264463166</v>
      </c>
      <c r="S293" s="1">
        <f t="shared" si="41"/>
        <v>0.721815623398575</v>
      </c>
      <c r="T293" s="1">
        <f t="shared" si="38"/>
        <v>1.19128634777042</v>
      </c>
      <c r="U293" s="1">
        <f t="shared" si="43"/>
        <v>1.53466365688488</v>
      </c>
      <c r="V293" s="1">
        <f t="shared" si="39"/>
        <v>2.01908638768334</v>
      </c>
      <c r="W293" s="1">
        <f t="shared" si="40"/>
        <v>1.28590451019358</v>
      </c>
    </row>
    <row r="294" spans="1:23">
      <c r="A294" s="1" t="s">
        <v>311</v>
      </c>
      <c r="B294" s="1">
        <v>7102</v>
      </c>
      <c r="C294" s="1">
        <v>7102</v>
      </c>
      <c r="D294" s="1">
        <v>170134</v>
      </c>
      <c r="E294" s="1">
        <v>3.028</v>
      </c>
      <c r="F294" s="1">
        <v>2.556</v>
      </c>
      <c r="G294" s="1">
        <v>2.481</v>
      </c>
      <c r="H294" s="1">
        <v>3.919</v>
      </c>
      <c r="I294" s="1">
        <v>1.681</v>
      </c>
      <c r="J294" s="1">
        <v>2.132</v>
      </c>
      <c r="K294" s="1">
        <v>170134</v>
      </c>
      <c r="L294" s="1">
        <v>170134</v>
      </c>
      <c r="M294" s="2">
        <f t="shared" si="36"/>
        <v>1</v>
      </c>
      <c r="N294" s="1">
        <v>340268</v>
      </c>
      <c r="O294" s="2">
        <f t="shared" si="37"/>
        <v>2</v>
      </c>
      <c r="P294" s="1">
        <v>88618</v>
      </c>
      <c r="Q294" s="2">
        <f t="shared" si="42"/>
        <v>0.520871783417777</v>
      </c>
      <c r="S294" s="1">
        <f t="shared" si="41"/>
        <v>1.18466353677621</v>
      </c>
      <c r="T294" s="1">
        <f t="shared" si="38"/>
        <v>1.2204756146715</v>
      </c>
      <c r="U294" s="1">
        <f t="shared" si="43"/>
        <v>0.772646083184486</v>
      </c>
      <c r="V294" s="1">
        <f t="shared" si="39"/>
        <v>1.80130874479476</v>
      </c>
      <c r="W294" s="1">
        <f t="shared" si="40"/>
        <v>1.4202626641651</v>
      </c>
    </row>
    <row r="295" spans="1:23">
      <c r="A295" s="1" t="s">
        <v>312</v>
      </c>
      <c r="B295" s="1">
        <v>5832</v>
      </c>
      <c r="C295" s="1">
        <v>5832</v>
      </c>
      <c r="D295" s="1">
        <v>305630</v>
      </c>
      <c r="E295" s="1">
        <v>5.901</v>
      </c>
      <c r="F295" s="1">
        <v>4.729</v>
      </c>
      <c r="G295" s="1">
        <v>4.522</v>
      </c>
      <c r="H295" s="1">
        <v>4.856</v>
      </c>
      <c r="I295" s="1">
        <v>3.728</v>
      </c>
      <c r="J295" s="1">
        <v>3.786</v>
      </c>
      <c r="K295" s="1">
        <v>305630</v>
      </c>
      <c r="L295" s="1">
        <v>306720</v>
      </c>
      <c r="M295" s="2">
        <f t="shared" si="36"/>
        <v>1.00356640382161</v>
      </c>
      <c r="N295" s="1">
        <v>424350</v>
      </c>
      <c r="O295" s="2">
        <f t="shared" si="37"/>
        <v>1.38844354284592</v>
      </c>
      <c r="P295" s="1">
        <v>184466</v>
      </c>
      <c r="Q295" s="2">
        <f t="shared" si="42"/>
        <v>0.603559859961391</v>
      </c>
      <c r="S295" s="1">
        <f t="shared" si="41"/>
        <v>1.24783252273208</v>
      </c>
      <c r="T295" s="1">
        <f t="shared" si="38"/>
        <v>1.30495356037152</v>
      </c>
      <c r="U295" s="1">
        <f t="shared" si="43"/>
        <v>1.21519769357496</v>
      </c>
      <c r="V295" s="1">
        <f t="shared" si="39"/>
        <v>1.58288626609442</v>
      </c>
      <c r="W295" s="1">
        <f t="shared" si="40"/>
        <v>1.55863708399366</v>
      </c>
    </row>
    <row r="296" spans="1:23">
      <c r="A296" s="1" t="s">
        <v>313</v>
      </c>
      <c r="B296" s="1">
        <v>4704</v>
      </c>
      <c r="C296" s="1">
        <v>4704</v>
      </c>
      <c r="D296" s="1">
        <v>104756</v>
      </c>
      <c r="E296" s="1">
        <v>1.85</v>
      </c>
      <c r="F296" s="1">
        <v>1.621</v>
      </c>
      <c r="G296" s="1">
        <v>1.51</v>
      </c>
      <c r="H296" s="1">
        <v>1.664</v>
      </c>
      <c r="I296" s="1">
        <v>1.23</v>
      </c>
      <c r="J296" s="1">
        <v>1.361</v>
      </c>
      <c r="K296" s="1">
        <v>104756</v>
      </c>
      <c r="L296" s="1">
        <v>104912</v>
      </c>
      <c r="M296" s="2">
        <f t="shared" si="36"/>
        <v>1.0014891748444</v>
      </c>
      <c r="N296" s="1">
        <v>138738</v>
      </c>
      <c r="O296" s="2">
        <f t="shared" si="37"/>
        <v>1.32439192027187</v>
      </c>
      <c r="P296" s="1">
        <v>61658</v>
      </c>
      <c r="Q296" s="2">
        <f t="shared" si="42"/>
        <v>0.588586811256634</v>
      </c>
      <c r="S296" s="1">
        <f t="shared" si="41"/>
        <v>1.14127082048118</v>
      </c>
      <c r="T296" s="1">
        <f t="shared" si="38"/>
        <v>1.22516556291391</v>
      </c>
      <c r="U296" s="1">
        <f t="shared" si="43"/>
        <v>1.11177884615385</v>
      </c>
      <c r="V296" s="1">
        <f t="shared" si="39"/>
        <v>1.50406504065041</v>
      </c>
      <c r="W296" s="1">
        <f t="shared" si="40"/>
        <v>1.35929463629684</v>
      </c>
    </row>
    <row r="297" spans="1:23">
      <c r="A297" s="1" t="s">
        <v>314</v>
      </c>
      <c r="B297" s="1">
        <v>54870</v>
      </c>
      <c r="C297" s="1">
        <v>54870</v>
      </c>
      <c r="D297" s="1">
        <v>2677324</v>
      </c>
      <c r="E297" s="1">
        <v>60.094</v>
      </c>
      <c r="F297" s="1">
        <v>50.155</v>
      </c>
      <c r="G297" s="1">
        <v>51.253</v>
      </c>
      <c r="H297" s="1">
        <v>34.95</v>
      </c>
      <c r="I297" s="1">
        <v>28.964</v>
      </c>
      <c r="J297" s="1">
        <v>32.232</v>
      </c>
      <c r="K297" s="1">
        <v>2677324</v>
      </c>
      <c r="L297" s="1">
        <v>2679000</v>
      </c>
      <c r="M297" s="2">
        <f t="shared" si="36"/>
        <v>1.0006259981982</v>
      </c>
      <c r="N297" s="1">
        <v>2841768</v>
      </c>
      <c r="O297" s="2">
        <f t="shared" si="37"/>
        <v>1.06142103085021</v>
      </c>
      <c r="P297" s="1">
        <v>1427410</v>
      </c>
      <c r="Q297" s="2">
        <f t="shared" si="42"/>
        <v>0.533148023922394</v>
      </c>
      <c r="S297" s="1">
        <f t="shared" si="41"/>
        <v>1.19816568637225</v>
      </c>
      <c r="T297" s="1">
        <f t="shared" si="38"/>
        <v>1.17249721967495</v>
      </c>
      <c r="U297" s="1">
        <f t="shared" si="43"/>
        <v>1.71942775393419</v>
      </c>
      <c r="V297" s="1">
        <f t="shared" si="39"/>
        <v>2.07478248860655</v>
      </c>
      <c r="W297" s="1">
        <f t="shared" si="40"/>
        <v>1.86442045172499</v>
      </c>
    </row>
    <row r="298" spans="1:23">
      <c r="A298" s="1" t="s">
        <v>315</v>
      </c>
      <c r="B298" s="1">
        <v>50000</v>
      </c>
      <c r="C298" s="1">
        <v>50000</v>
      </c>
      <c r="D298" s="1">
        <v>349968</v>
      </c>
      <c r="E298" s="1">
        <v>8.129</v>
      </c>
      <c r="F298" s="1">
        <v>10.377</v>
      </c>
      <c r="G298" s="1">
        <v>7.74</v>
      </c>
      <c r="H298" s="1">
        <v>12.484</v>
      </c>
      <c r="I298" s="1">
        <v>11.668</v>
      </c>
      <c r="J298" s="1">
        <v>9.197</v>
      </c>
      <c r="K298" s="1">
        <v>349968</v>
      </c>
      <c r="L298" s="1">
        <v>350000</v>
      </c>
      <c r="M298" s="2">
        <f t="shared" si="36"/>
        <v>1.00009143693138</v>
      </c>
      <c r="N298" s="1">
        <v>699900</v>
      </c>
      <c r="O298" s="2">
        <f t="shared" si="37"/>
        <v>1.9998971334522</v>
      </c>
      <c r="P298" s="1">
        <v>349942</v>
      </c>
      <c r="Q298" s="2">
        <f t="shared" si="42"/>
        <v>0.999925707493256</v>
      </c>
      <c r="S298" s="1">
        <f t="shared" si="41"/>
        <v>0.783367061771225</v>
      </c>
      <c r="T298" s="1">
        <f t="shared" si="38"/>
        <v>1.05025839793282</v>
      </c>
      <c r="U298" s="1">
        <f t="shared" si="43"/>
        <v>0.651153476449856</v>
      </c>
      <c r="V298" s="1">
        <f t="shared" si="39"/>
        <v>0.696691806650669</v>
      </c>
      <c r="W298" s="1">
        <f t="shared" si="40"/>
        <v>0.88387517668805</v>
      </c>
    </row>
    <row r="299" spans="1:23">
      <c r="A299" s="1" t="s">
        <v>316</v>
      </c>
      <c r="B299" s="1">
        <v>12111</v>
      </c>
      <c r="C299" s="1">
        <v>12111</v>
      </c>
      <c r="D299" s="1">
        <v>73963</v>
      </c>
      <c r="E299" s="1">
        <v>1.451</v>
      </c>
      <c r="F299" s="1">
        <v>1.594</v>
      </c>
      <c r="G299" s="1">
        <v>1.28</v>
      </c>
      <c r="H299" s="1">
        <v>2.172</v>
      </c>
      <c r="I299" s="1">
        <v>1.741</v>
      </c>
      <c r="J299" s="1">
        <v>1.388</v>
      </c>
      <c r="K299" s="1">
        <v>73963</v>
      </c>
      <c r="L299" s="1">
        <v>74036</v>
      </c>
      <c r="M299" s="2">
        <f t="shared" si="36"/>
        <v>1.00098697997647</v>
      </c>
      <c r="N299" s="1">
        <v>147902</v>
      </c>
      <c r="O299" s="2">
        <f t="shared" si="37"/>
        <v>1.99967551343239</v>
      </c>
      <c r="P299" s="1">
        <v>71356</v>
      </c>
      <c r="Q299" s="2">
        <f t="shared" si="42"/>
        <v>0.964752646593567</v>
      </c>
      <c r="S299" s="1">
        <f t="shared" si="41"/>
        <v>0.910288582183187</v>
      </c>
      <c r="T299" s="1">
        <f t="shared" si="38"/>
        <v>1.13359375</v>
      </c>
      <c r="U299" s="1">
        <f t="shared" si="43"/>
        <v>0.66804788213628</v>
      </c>
      <c r="V299" s="1">
        <f t="shared" si="39"/>
        <v>0.833429063756462</v>
      </c>
      <c r="W299" s="1">
        <f t="shared" si="40"/>
        <v>1.04538904899135</v>
      </c>
    </row>
    <row r="300" spans="1:23">
      <c r="A300" s="1" t="s">
        <v>317</v>
      </c>
      <c r="B300" s="1">
        <v>75000</v>
      </c>
      <c r="C300" s="1">
        <v>75000</v>
      </c>
      <c r="D300" s="1">
        <v>499964</v>
      </c>
      <c r="E300" s="1">
        <v>13.524</v>
      </c>
      <c r="F300" s="1">
        <v>14.667</v>
      </c>
      <c r="G300" s="1">
        <v>12.231</v>
      </c>
      <c r="H300" s="1">
        <v>19.753</v>
      </c>
      <c r="I300" s="1">
        <v>17.52</v>
      </c>
      <c r="J300" s="1">
        <v>14.989</v>
      </c>
      <c r="K300" s="1">
        <v>499964</v>
      </c>
      <c r="L300" s="1">
        <v>500370</v>
      </c>
      <c r="M300" s="2">
        <f t="shared" si="36"/>
        <v>1.00081205846821</v>
      </c>
      <c r="N300" s="1">
        <v>999884</v>
      </c>
      <c r="O300" s="2">
        <f t="shared" si="37"/>
        <v>1.99991199366354</v>
      </c>
      <c r="P300" s="1">
        <v>499934</v>
      </c>
      <c r="Q300" s="2">
        <f t="shared" si="42"/>
        <v>0.999939995679689</v>
      </c>
      <c r="S300" s="1">
        <f t="shared" si="41"/>
        <v>0.922069952955615</v>
      </c>
      <c r="T300" s="1">
        <f t="shared" si="38"/>
        <v>1.10571498650969</v>
      </c>
      <c r="U300" s="1">
        <f t="shared" si="43"/>
        <v>0.684655495367792</v>
      </c>
      <c r="V300" s="1">
        <f t="shared" si="39"/>
        <v>0.771917808219178</v>
      </c>
      <c r="W300" s="1">
        <f t="shared" si="40"/>
        <v>0.902261658549603</v>
      </c>
    </row>
    <row r="301" spans="1:23">
      <c r="A301" s="1" t="s">
        <v>318</v>
      </c>
      <c r="B301" s="1">
        <v>62500</v>
      </c>
      <c r="C301" s="1">
        <v>62500</v>
      </c>
      <c r="D301" s="1">
        <v>424966</v>
      </c>
      <c r="E301" s="1">
        <v>11.307</v>
      </c>
      <c r="F301" s="1">
        <v>12.76</v>
      </c>
      <c r="G301" s="1">
        <v>10.42</v>
      </c>
      <c r="H301" s="1">
        <v>16.628</v>
      </c>
      <c r="I301" s="1">
        <v>14.809</v>
      </c>
      <c r="J301" s="1">
        <v>12.623</v>
      </c>
      <c r="K301" s="1">
        <v>424966</v>
      </c>
      <c r="L301" s="1">
        <v>425178</v>
      </c>
      <c r="M301" s="2">
        <f t="shared" si="36"/>
        <v>1.00049886343849</v>
      </c>
      <c r="N301" s="1">
        <v>849892</v>
      </c>
      <c r="O301" s="2">
        <f t="shared" si="37"/>
        <v>1.99990587482293</v>
      </c>
      <c r="P301" s="1">
        <v>424936</v>
      </c>
      <c r="Q301" s="2">
        <f t="shared" si="42"/>
        <v>0.999929406117195</v>
      </c>
      <c r="S301" s="1">
        <f t="shared" si="41"/>
        <v>0.886128526645768</v>
      </c>
      <c r="T301" s="1">
        <f t="shared" si="38"/>
        <v>1.08512476007678</v>
      </c>
      <c r="U301" s="1">
        <f t="shared" si="43"/>
        <v>0.679997594419052</v>
      </c>
      <c r="V301" s="1">
        <f t="shared" si="39"/>
        <v>0.763522182456614</v>
      </c>
      <c r="W301" s="1">
        <f t="shared" si="40"/>
        <v>0.895745860730413</v>
      </c>
    </row>
    <row r="302" spans="1:23">
      <c r="A302" s="1" t="s">
        <v>319</v>
      </c>
      <c r="B302" s="1">
        <v>87500</v>
      </c>
      <c r="C302" s="1">
        <v>87500</v>
      </c>
      <c r="D302" s="1">
        <v>574962</v>
      </c>
      <c r="E302" s="1">
        <v>15.742</v>
      </c>
      <c r="F302" s="1">
        <v>16.852</v>
      </c>
      <c r="G302" s="1">
        <v>14.548</v>
      </c>
      <c r="H302" s="1">
        <v>21.502</v>
      </c>
      <c r="I302" s="1">
        <v>19.952</v>
      </c>
      <c r="J302" s="1">
        <v>16.781</v>
      </c>
      <c r="K302" s="1">
        <v>574962</v>
      </c>
      <c r="L302" s="1">
        <v>575564</v>
      </c>
      <c r="M302" s="2">
        <f t="shared" si="36"/>
        <v>1.00104702571648</v>
      </c>
      <c r="N302" s="1">
        <v>1149876</v>
      </c>
      <c r="O302" s="2">
        <f t="shared" si="37"/>
        <v>1.99991651622194</v>
      </c>
      <c r="P302" s="1">
        <v>574932</v>
      </c>
      <c r="Q302" s="2">
        <f t="shared" si="42"/>
        <v>0.999947822638714</v>
      </c>
      <c r="S302" s="1">
        <f t="shared" si="41"/>
        <v>0.934132447187278</v>
      </c>
      <c r="T302" s="1">
        <f t="shared" si="38"/>
        <v>1.08207313720099</v>
      </c>
      <c r="U302" s="1">
        <f t="shared" si="43"/>
        <v>0.732117942516975</v>
      </c>
      <c r="V302" s="1">
        <f t="shared" si="39"/>
        <v>0.788993584603047</v>
      </c>
      <c r="W302" s="1">
        <f t="shared" si="40"/>
        <v>0.938084738692569</v>
      </c>
    </row>
    <row r="303" spans="1:23">
      <c r="A303" s="1" t="s">
        <v>320</v>
      </c>
      <c r="B303" s="1">
        <v>16554</v>
      </c>
      <c r="C303" s="1">
        <v>16554</v>
      </c>
      <c r="D303" s="1">
        <v>54040</v>
      </c>
      <c r="E303" s="1">
        <v>1.458</v>
      </c>
      <c r="F303" s="1">
        <v>1.56</v>
      </c>
      <c r="G303" s="1">
        <v>1.068</v>
      </c>
      <c r="H303" s="1">
        <v>1.999</v>
      </c>
      <c r="I303" s="1">
        <v>1.285</v>
      </c>
      <c r="J303" s="1">
        <v>1.255</v>
      </c>
      <c r="K303" s="1">
        <v>54040</v>
      </c>
      <c r="L303" s="1">
        <v>54098</v>
      </c>
      <c r="M303" s="2">
        <f t="shared" si="36"/>
        <v>1.00107327905255</v>
      </c>
      <c r="N303" s="1">
        <v>108068</v>
      </c>
      <c r="O303" s="2">
        <f t="shared" si="37"/>
        <v>1.99977794226499</v>
      </c>
      <c r="P303" s="1">
        <v>53784</v>
      </c>
      <c r="Q303" s="2">
        <f t="shared" si="42"/>
        <v>0.995262768319763</v>
      </c>
      <c r="S303" s="1">
        <f t="shared" si="41"/>
        <v>0.934615384615385</v>
      </c>
      <c r="T303" s="1">
        <f t="shared" si="38"/>
        <v>1.36516853932584</v>
      </c>
      <c r="U303" s="1">
        <f t="shared" si="43"/>
        <v>0.729364682341171</v>
      </c>
      <c r="V303" s="1">
        <f t="shared" si="39"/>
        <v>1.13463035019455</v>
      </c>
      <c r="W303" s="1">
        <f t="shared" si="40"/>
        <v>1.16175298804781</v>
      </c>
    </row>
    <row r="304" spans="1:23">
      <c r="A304" s="1" t="s">
        <v>321</v>
      </c>
      <c r="B304" s="1">
        <v>36000</v>
      </c>
      <c r="C304" s="1">
        <v>36000</v>
      </c>
      <c r="D304" s="1">
        <v>14220946</v>
      </c>
      <c r="E304" s="1">
        <v>358.188</v>
      </c>
      <c r="F304" s="1">
        <v>287.729</v>
      </c>
      <c r="G304" s="1">
        <v>292.179</v>
      </c>
      <c r="H304" s="1">
        <v>229.961</v>
      </c>
      <c r="I304" s="1">
        <v>207.553</v>
      </c>
      <c r="J304" s="1">
        <v>168.612</v>
      </c>
      <c r="K304" s="1">
        <v>14220946</v>
      </c>
      <c r="L304" s="1">
        <v>14231010</v>
      </c>
      <c r="M304" s="2">
        <f t="shared" si="36"/>
        <v>1.00070768850399</v>
      </c>
      <c r="N304" s="1">
        <v>15107872</v>
      </c>
      <c r="O304" s="2">
        <f t="shared" si="37"/>
        <v>1.06236758089089</v>
      </c>
      <c r="P304" s="1">
        <v>7421258</v>
      </c>
      <c r="Q304" s="2">
        <f t="shared" si="42"/>
        <v>0.521854031370346</v>
      </c>
      <c r="S304" s="1">
        <f t="shared" si="41"/>
        <v>1.24487973057982</v>
      </c>
      <c r="T304" s="1">
        <f t="shared" si="38"/>
        <v>1.22591972729046</v>
      </c>
      <c r="U304" s="1">
        <f t="shared" si="43"/>
        <v>1.55760324576776</v>
      </c>
      <c r="V304" s="1">
        <f t="shared" si="39"/>
        <v>1.72576643074299</v>
      </c>
      <c r="W304" s="1">
        <f t="shared" si="40"/>
        <v>2.12433278770194</v>
      </c>
    </row>
    <row r="305" spans="1:23">
      <c r="A305" s="1" t="s">
        <v>322</v>
      </c>
      <c r="B305" s="1">
        <v>72000</v>
      </c>
      <c r="C305" s="1">
        <v>72000</v>
      </c>
      <c r="D305" s="1">
        <v>28715634</v>
      </c>
      <c r="E305" s="1">
        <v>726.999</v>
      </c>
      <c r="F305" s="1">
        <v>585.13</v>
      </c>
      <c r="G305" s="1">
        <v>599.963</v>
      </c>
      <c r="H305" s="1">
        <v>470.254</v>
      </c>
      <c r="I305" s="1">
        <v>427.709</v>
      </c>
      <c r="J305" s="1">
        <v>334.838</v>
      </c>
      <c r="K305" s="1">
        <v>28715634</v>
      </c>
      <c r="L305" s="1">
        <v>28731928</v>
      </c>
      <c r="M305" s="2">
        <f t="shared" si="36"/>
        <v>1.0005674260927</v>
      </c>
      <c r="N305" s="1">
        <v>30504080</v>
      </c>
      <c r="O305" s="2">
        <f t="shared" si="37"/>
        <v>1.062281264624</v>
      </c>
      <c r="P305" s="1">
        <v>14981138</v>
      </c>
      <c r="Q305" s="2">
        <f t="shared" si="42"/>
        <v>0.521706677275522</v>
      </c>
      <c r="S305" s="1">
        <f t="shared" si="41"/>
        <v>1.24245723172628</v>
      </c>
      <c r="T305" s="1">
        <f t="shared" si="38"/>
        <v>1.21173972394964</v>
      </c>
      <c r="U305" s="1">
        <f t="shared" si="43"/>
        <v>1.54597090083232</v>
      </c>
      <c r="V305" s="1">
        <f t="shared" si="39"/>
        <v>1.69975146653449</v>
      </c>
      <c r="W305" s="1">
        <f t="shared" si="40"/>
        <v>2.17119622026174</v>
      </c>
    </row>
    <row r="306" spans="1:23">
      <c r="A306" s="1" t="s">
        <v>323</v>
      </c>
      <c r="B306" s="1">
        <v>9000</v>
      </c>
      <c r="C306" s="1">
        <v>9000</v>
      </c>
      <c r="D306" s="1">
        <v>3279690</v>
      </c>
      <c r="E306" s="1">
        <v>78.5</v>
      </c>
      <c r="F306" s="1">
        <v>62.254</v>
      </c>
      <c r="G306" s="1">
        <v>62.783</v>
      </c>
      <c r="H306" s="1">
        <v>48.058</v>
      </c>
      <c r="I306" s="1">
        <v>36.554</v>
      </c>
      <c r="J306" s="1">
        <v>36.649</v>
      </c>
      <c r="K306" s="1">
        <v>3279690</v>
      </c>
      <c r="L306" s="1">
        <v>3282566</v>
      </c>
      <c r="M306" s="2">
        <f t="shared" si="36"/>
        <v>1.00087691214718</v>
      </c>
      <c r="N306" s="1">
        <v>3473738</v>
      </c>
      <c r="O306" s="2">
        <f t="shared" si="37"/>
        <v>1.05916656757194</v>
      </c>
      <c r="P306" s="1">
        <v>1709028</v>
      </c>
      <c r="Q306" s="2">
        <f t="shared" si="42"/>
        <v>0.521094371724157</v>
      </c>
      <c r="S306" s="1">
        <f t="shared" si="41"/>
        <v>1.26096315096219</v>
      </c>
      <c r="T306" s="1">
        <f t="shared" si="38"/>
        <v>1.25033846741952</v>
      </c>
      <c r="U306" s="1">
        <f t="shared" si="43"/>
        <v>1.63344292313455</v>
      </c>
      <c r="V306" s="1">
        <f t="shared" si="39"/>
        <v>2.14750779668436</v>
      </c>
      <c r="W306" s="1">
        <f t="shared" si="40"/>
        <v>2.14194111708369</v>
      </c>
    </row>
    <row r="307" spans="1:23">
      <c r="A307" s="1" t="s">
        <v>324</v>
      </c>
      <c r="B307" s="1">
        <v>18000</v>
      </c>
      <c r="C307" s="1">
        <v>18000</v>
      </c>
      <c r="D307" s="1">
        <v>6897316</v>
      </c>
      <c r="E307" s="1">
        <v>174.223</v>
      </c>
      <c r="F307" s="1">
        <v>139.041</v>
      </c>
      <c r="G307" s="1">
        <v>139.283</v>
      </c>
      <c r="H307" s="1">
        <v>99.212</v>
      </c>
      <c r="I307" s="1">
        <v>92.013</v>
      </c>
      <c r="J307" s="1">
        <v>76.526</v>
      </c>
      <c r="K307" s="1">
        <v>6897316</v>
      </c>
      <c r="L307" s="1">
        <v>6902694</v>
      </c>
      <c r="M307" s="2">
        <f t="shared" ref="M307:M370" si="44">L307/K307</f>
        <v>1.00077972359103</v>
      </c>
      <c r="N307" s="1">
        <v>7326108</v>
      </c>
      <c r="O307" s="2">
        <f t="shared" si="37"/>
        <v>1.06216795054772</v>
      </c>
      <c r="P307" s="1">
        <v>3599028</v>
      </c>
      <c r="Q307" s="2">
        <f t="shared" si="42"/>
        <v>0.52180123398725</v>
      </c>
      <c r="S307" s="1">
        <f t="shared" si="41"/>
        <v>1.25303327795399</v>
      </c>
      <c r="T307" s="1">
        <f t="shared" si="38"/>
        <v>1.2508561705305</v>
      </c>
      <c r="U307" s="1">
        <f t="shared" si="43"/>
        <v>1.75606781437729</v>
      </c>
      <c r="V307" s="1">
        <f t="shared" si="39"/>
        <v>1.89346070663928</v>
      </c>
      <c r="W307" s="1">
        <f t="shared" si="40"/>
        <v>2.27665107283799</v>
      </c>
    </row>
    <row r="308" spans="1:23">
      <c r="A308" s="1" t="s">
        <v>325</v>
      </c>
      <c r="B308" s="1">
        <v>9506</v>
      </c>
      <c r="C308" s="1">
        <v>9506</v>
      </c>
      <c r="D308" s="1">
        <v>725054</v>
      </c>
      <c r="E308" s="1">
        <v>14.161</v>
      </c>
      <c r="F308" s="1">
        <v>11.022</v>
      </c>
      <c r="G308" s="1">
        <v>11.277</v>
      </c>
      <c r="H308" s="1">
        <v>8.947</v>
      </c>
      <c r="I308" s="1">
        <v>7.258</v>
      </c>
      <c r="J308" s="1">
        <v>7.772</v>
      </c>
      <c r="K308" s="1">
        <v>725054</v>
      </c>
      <c r="L308" s="1">
        <v>725422</v>
      </c>
      <c r="M308" s="2">
        <f t="shared" si="44"/>
        <v>1.00050754840329</v>
      </c>
      <c r="N308" s="1">
        <v>763034</v>
      </c>
      <c r="O308" s="2">
        <f t="shared" si="37"/>
        <v>1.05238230531795</v>
      </c>
      <c r="P308" s="1">
        <v>381516</v>
      </c>
      <c r="Q308" s="2">
        <f t="shared" si="42"/>
        <v>0.526189773451357</v>
      </c>
      <c r="S308" s="1">
        <f t="shared" si="41"/>
        <v>1.2847940482671</v>
      </c>
      <c r="T308" s="1">
        <f t="shared" si="38"/>
        <v>1.25574177529485</v>
      </c>
      <c r="U308" s="1">
        <f t="shared" si="43"/>
        <v>1.58276517268358</v>
      </c>
      <c r="V308" s="1">
        <f t="shared" si="39"/>
        <v>1.95108845411959</v>
      </c>
      <c r="W308" s="1">
        <f t="shared" si="40"/>
        <v>1.82205352547607</v>
      </c>
    </row>
    <row r="309" spans="1:23">
      <c r="A309" s="1" t="s">
        <v>326</v>
      </c>
      <c r="B309" s="1">
        <v>9506</v>
      </c>
      <c r="C309" s="1">
        <v>9506</v>
      </c>
      <c r="D309" s="1">
        <v>394808</v>
      </c>
      <c r="E309" s="1">
        <v>7.377</v>
      </c>
      <c r="F309" s="1">
        <v>6.125</v>
      </c>
      <c r="G309" s="1">
        <v>5.938</v>
      </c>
      <c r="H309" s="1">
        <v>5.391</v>
      </c>
      <c r="I309" s="1">
        <v>4.059</v>
      </c>
      <c r="J309" s="1">
        <v>4.712</v>
      </c>
      <c r="K309" s="1">
        <v>394808</v>
      </c>
      <c r="L309" s="1">
        <v>395048</v>
      </c>
      <c r="M309" s="2">
        <f t="shared" si="44"/>
        <v>1.00060789041762</v>
      </c>
      <c r="N309" s="1">
        <v>429884</v>
      </c>
      <c r="O309" s="2">
        <f t="shared" si="37"/>
        <v>1.08884318453527</v>
      </c>
      <c r="P309" s="1">
        <v>212114</v>
      </c>
      <c r="Q309" s="2">
        <f t="shared" si="42"/>
        <v>0.53725861684667</v>
      </c>
      <c r="S309" s="1">
        <f t="shared" si="41"/>
        <v>1.20440816326531</v>
      </c>
      <c r="T309" s="1">
        <f t="shared" si="38"/>
        <v>1.24233748736948</v>
      </c>
      <c r="U309" s="1">
        <f t="shared" si="43"/>
        <v>1.3683917640512</v>
      </c>
      <c r="V309" s="1">
        <f t="shared" si="39"/>
        <v>1.81744271988174</v>
      </c>
      <c r="W309" s="1">
        <f t="shared" si="40"/>
        <v>1.56557724957555</v>
      </c>
    </row>
    <row r="310" spans="1:23">
      <c r="A310" s="1" t="s">
        <v>327</v>
      </c>
      <c r="B310" s="1">
        <v>9506</v>
      </c>
      <c r="C310" s="1">
        <v>9506</v>
      </c>
      <c r="D310" s="1">
        <v>394808</v>
      </c>
      <c r="E310" s="1">
        <v>7.415</v>
      </c>
      <c r="F310" s="1">
        <v>6.138</v>
      </c>
      <c r="G310" s="1">
        <v>5.94</v>
      </c>
      <c r="H310" s="1">
        <v>5.381</v>
      </c>
      <c r="I310" s="1">
        <v>4.034</v>
      </c>
      <c r="J310" s="1">
        <v>4.662</v>
      </c>
      <c r="K310" s="1">
        <v>394808</v>
      </c>
      <c r="L310" s="1">
        <v>395048</v>
      </c>
      <c r="M310" s="2">
        <f t="shared" si="44"/>
        <v>1.00060789041762</v>
      </c>
      <c r="N310" s="1">
        <v>429884</v>
      </c>
      <c r="O310" s="2">
        <f t="shared" si="37"/>
        <v>1.08884318453527</v>
      </c>
      <c r="P310" s="1">
        <v>212114</v>
      </c>
      <c r="Q310" s="2">
        <f t="shared" si="42"/>
        <v>0.53725861684667</v>
      </c>
      <c r="S310" s="1">
        <f t="shared" si="41"/>
        <v>1.20804822417726</v>
      </c>
      <c r="T310" s="1">
        <f t="shared" si="38"/>
        <v>1.2483164983165</v>
      </c>
      <c r="U310" s="1">
        <f t="shared" si="43"/>
        <v>1.37799665489686</v>
      </c>
      <c r="V310" s="1">
        <f t="shared" si="39"/>
        <v>1.83812592959841</v>
      </c>
      <c r="W310" s="1">
        <f t="shared" si="40"/>
        <v>1.59051909051909</v>
      </c>
    </row>
    <row r="311" spans="1:23">
      <c r="A311" s="1" t="s">
        <v>328</v>
      </c>
      <c r="B311" s="1">
        <v>9506</v>
      </c>
      <c r="C311" s="1">
        <v>9506</v>
      </c>
      <c r="D311" s="1">
        <v>394808</v>
      </c>
      <c r="E311" s="1">
        <v>7.365</v>
      </c>
      <c r="F311" s="1">
        <v>6.128</v>
      </c>
      <c r="G311" s="1">
        <v>5.926</v>
      </c>
      <c r="H311" s="1">
        <v>5.375</v>
      </c>
      <c r="I311" s="1">
        <v>4.039</v>
      </c>
      <c r="J311" s="1">
        <v>4.624</v>
      </c>
      <c r="K311" s="1">
        <v>394808</v>
      </c>
      <c r="L311" s="1">
        <v>395048</v>
      </c>
      <c r="M311" s="2">
        <f t="shared" si="44"/>
        <v>1.00060789041762</v>
      </c>
      <c r="N311" s="1">
        <v>429884</v>
      </c>
      <c r="O311" s="2">
        <f t="shared" si="37"/>
        <v>1.08884318453527</v>
      </c>
      <c r="P311" s="1">
        <v>212114</v>
      </c>
      <c r="Q311" s="2">
        <f t="shared" si="42"/>
        <v>0.53725861684667</v>
      </c>
      <c r="S311" s="1">
        <f t="shared" si="41"/>
        <v>1.20186031331593</v>
      </c>
      <c r="T311" s="1">
        <f t="shared" si="38"/>
        <v>1.24282821464732</v>
      </c>
      <c r="U311" s="1">
        <f t="shared" si="43"/>
        <v>1.37023255813953</v>
      </c>
      <c r="V311" s="1">
        <f t="shared" si="39"/>
        <v>1.82347115622679</v>
      </c>
      <c r="W311" s="1">
        <f t="shared" si="40"/>
        <v>1.592776816609</v>
      </c>
    </row>
    <row r="312" spans="1:23">
      <c r="A312" s="1" t="s">
        <v>329</v>
      </c>
      <c r="B312" s="1">
        <v>9506</v>
      </c>
      <c r="C312" s="1">
        <v>9506</v>
      </c>
      <c r="D312" s="1">
        <v>394808</v>
      </c>
      <c r="E312" s="1">
        <v>7.347</v>
      </c>
      <c r="F312" s="1">
        <v>6.05</v>
      </c>
      <c r="G312" s="1">
        <v>5.939</v>
      </c>
      <c r="H312" s="1">
        <v>5.395</v>
      </c>
      <c r="I312" s="1">
        <v>4.107</v>
      </c>
      <c r="J312" s="1">
        <v>4.644</v>
      </c>
      <c r="K312" s="1">
        <v>394808</v>
      </c>
      <c r="L312" s="1">
        <v>395048</v>
      </c>
      <c r="M312" s="2">
        <f t="shared" si="44"/>
        <v>1.00060789041762</v>
      </c>
      <c r="N312" s="1">
        <v>429884</v>
      </c>
      <c r="O312" s="2">
        <f t="shared" si="37"/>
        <v>1.08884318453527</v>
      </c>
      <c r="P312" s="1">
        <v>212114</v>
      </c>
      <c r="Q312" s="2">
        <f t="shared" si="42"/>
        <v>0.53725861684667</v>
      </c>
      <c r="S312" s="1">
        <f t="shared" si="41"/>
        <v>1.21438016528926</v>
      </c>
      <c r="T312" s="1">
        <f t="shared" si="38"/>
        <v>1.23707694898131</v>
      </c>
      <c r="U312" s="1">
        <f t="shared" si="43"/>
        <v>1.36181649675626</v>
      </c>
      <c r="V312" s="1">
        <f t="shared" si="39"/>
        <v>1.78889700511322</v>
      </c>
      <c r="W312" s="1">
        <f t="shared" si="40"/>
        <v>1.58204134366925</v>
      </c>
    </row>
    <row r="313" spans="1:23">
      <c r="A313" s="1" t="s">
        <v>330</v>
      </c>
      <c r="B313" s="1">
        <v>9506</v>
      </c>
      <c r="C313" s="1">
        <v>9506</v>
      </c>
      <c r="D313" s="1">
        <v>394808</v>
      </c>
      <c r="E313" s="1">
        <v>7.344</v>
      </c>
      <c r="F313" s="1">
        <v>6.055</v>
      </c>
      <c r="G313" s="1">
        <v>5.897</v>
      </c>
      <c r="H313" s="1">
        <v>5.319</v>
      </c>
      <c r="I313" s="1">
        <v>4.039</v>
      </c>
      <c r="J313" s="1">
        <v>4.633</v>
      </c>
      <c r="K313" s="1">
        <v>394808</v>
      </c>
      <c r="L313" s="1">
        <v>395048</v>
      </c>
      <c r="M313" s="2">
        <f t="shared" si="44"/>
        <v>1.00060789041762</v>
      </c>
      <c r="N313" s="1">
        <v>429884</v>
      </c>
      <c r="O313" s="2">
        <f t="shared" si="37"/>
        <v>1.08884318453527</v>
      </c>
      <c r="P313" s="1">
        <v>212114</v>
      </c>
      <c r="Q313" s="2">
        <f t="shared" si="42"/>
        <v>0.53725861684667</v>
      </c>
      <c r="S313" s="1">
        <f t="shared" si="41"/>
        <v>1.21288191577209</v>
      </c>
      <c r="T313" s="1">
        <f t="shared" si="38"/>
        <v>1.24537900627438</v>
      </c>
      <c r="U313" s="1">
        <f t="shared" si="43"/>
        <v>1.38071065989848</v>
      </c>
      <c r="V313" s="1">
        <f t="shared" si="39"/>
        <v>1.81827184946769</v>
      </c>
      <c r="W313" s="1">
        <f t="shared" si="40"/>
        <v>1.58515001079214</v>
      </c>
    </row>
    <row r="314" spans="1:23">
      <c r="A314" s="1" t="s">
        <v>331</v>
      </c>
      <c r="B314" s="1">
        <v>9506</v>
      </c>
      <c r="C314" s="1">
        <v>9506</v>
      </c>
      <c r="D314" s="1">
        <v>394812</v>
      </c>
      <c r="E314" s="1">
        <v>7.477</v>
      </c>
      <c r="F314" s="1">
        <v>6.147</v>
      </c>
      <c r="G314" s="1">
        <v>5.986</v>
      </c>
      <c r="H314" s="1">
        <v>5.051</v>
      </c>
      <c r="I314" s="1">
        <v>4.054</v>
      </c>
      <c r="J314" s="1">
        <v>4.654</v>
      </c>
      <c r="K314" s="1">
        <v>394812</v>
      </c>
      <c r="L314" s="1">
        <v>395050</v>
      </c>
      <c r="M314" s="2">
        <f t="shared" si="44"/>
        <v>1.00060281855668</v>
      </c>
      <c r="N314" s="1">
        <v>429884</v>
      </c>
      <c r="O314" s="2">
        <f t="shared" si="37"/>
        <v>1.08883215302473</v>
      </c>
      <c r="P314" s="1">
        <v>212118</v>
      </c>
      <c r="Q314" s="2">
        <f t="shared" si="42"/>
        <v>0.537263305066715</v>
      </c>
      <c r="S314" s="1">
        <f t="shared" si="41"/>
        <v>1.21636570684887</v>
      </c>
      <c r="T314" s="1">
        <f t="shared" si="38"/>
        <v>1.24908118944203</v>
      </c>
      <c r="U314" s="1">
        <f t="shared" si="43"/>
        <v>1.48030093050881</v>
      </c>
      <c r="V314" s="1">
        <f t="shared" si="39"/>
        <v>1.84435125801677</v>
      </c>
      <c r="W314" s="1">
        <f t="shared" si="40"/>
        <v>1.60657498925655</v>
      </c>
    </row>
    <row r="315" spans="1:23">
      <c r="A315" s="1" t="s">
        <v>332</v>
      </c>
      <c r="B315" s="1">
        <v>9506</v>
      </c>
      <c r="C315" s="1">
        <v>9506</v>
      </c>
      <c r="D315" s="1">
        <v>394816</v>
      </c>
      <c r="E315" s="1">
        <v>7.487</v>
      </c>
      <c r="F315" s="1">
        <v>6.179</v>
      </c>
      <c r="G315" s="1">
        <v>5.962</v>
      </c>
      <c r="H315" s="1">
        <v>5.088</v>
      </c>
      <c r="I315" s="1">
        <v>4.055</v>
      </c>
      <c r="J315" s="1">
        <v>4.774</v>
      </c>
      <c r="K315" s="1">
        <v>394816</v>
      </c>
      <c r="L315" s="1">
        <v>395050</v>
      </c>
      <c r="M315" s="2">
        <f t="shared" si="44"/>
        <v>1.00059268114767</v>
      </c>
      <c r="N315" s="1">
        <v>429888</v>
      </c>
      <c r="O315" s="2">
        <f t="shared" si="37"/>
        <v>1.08883125303939</v>
      </c>
      <c r="P315" s="1">
        <v>212118</v>
      </c>
      <c r="Q315" s="2">
        <f t="shared" si="42"/>
        <v>0.537257861890096</v>
      </c>
      <c r="S315" s="1">
        <f t="shared" si="41"/>
        <v>1.21168473863085</v>
      </c>
      <c r="T315" s="1">
        <f t="shared" si="38"/>
        <v>1.25578664877558</v>
      </c>
      <c r="U315" s="1">
        <f t="shared" si="43"/>
        <v>1.47150157232704</v>
      </c>
      <c r="V315" s="1">
        <f t="shared" si="39"/>
        <v>1.84636251541307</v>
      </c>
      <c r="W315" s="1">
        <f t="shared" si="40"/>
        <v>1.56828655215752</v>
      </c>
    </row>
    <row r="316" spans="1:23">
      <c r="A316" s="1" t="s">
        <v>333</v>
      </c>
      <c r="B316" s="1">
        <v>9506</v>
      </c>
      <c r="C316" s="1">
        <v>9506</v>
      </c>
      <c r="D316" s="1">
        <v>395506</v>
      </c>
      <c r="E316" s="1">
        <v>7.364</v>
      </c>
      <c r="F316" s="1">
        <v>6.026</v>
      </c>
      <c r="G316" s="1">
        <v>5.909</v>
      </c>
      <c r="H316" s="1">
        <v>5.18</v>
      </c>
      <c r="I316" s="1">
        <v>4.015</v>
      </c>
      <c r="J316" s="1">
        <v>4.639</v>
      </c>
      <c r="K316" s="1">
        <v>395506</v>
      </c>
      <c r="L316" s="1">
        <v>395728</v>
      </c>
      <c r="M316" s="2">
        <f t="shared" si="44"/>
        <v>1.00056130627601</v>
      </c>
      <c r="N316" s="1">
        <v>430576</v>
      </c>
      <c r="O316" s="2">
        <f t="shared" si="37"/>
        <v>1.08867122116984</v>
      </c>
      <c r="P316" s="1">
        <v>212342</v>
      </c>
      <c r="Q316" s="2">
        <f t="shared" si="42"/>
        <v>0.536886924597857</v>
      </c>
      <c r="S316" s="1">
        <f t="shared" si="41"/>
        <v>1.22203783604381</v>
      </c>
      <c r="T316" s="1">
        <f t="shared" si="38"/>
        <v>1.24623455745473</v>
      </c>
      <c r="U316" s="1">
        <f t="shared" si="43"/>
        <v>1.42162162162162</v>
      </c>
      <c r="V316" s="1">
        <f t="shared" si="39"/>
        <v>1.83412204234122</v>
      </c>
      <c r="W316" s="1">
        <f t="shared" si="40"/>
        <v>1.58741107997413</v>
      </c>
    </row>
    <row r="317" spans="1:23">
      <c r="A317" s="1" t="s">
        <v>334</v>
      </c>
      <c r="B317" s="1">
        <v>9506</v>
      </c>
      <c r="C317" s="1">
        <v>9506</v>
      </c>
      <c r="D317" s="1">
        <v>401448</v>
      </c>
      <c r="E317" s="1">
        <v>7.492</v>
      </c>
      <c r="F317" s="1">
        <v>6.156</v>
      </c>
      <c r="G317" s="1">
        <v>6.139</v>
      </c>
      <c r="H317" s="1">
        <v>5.528</v>
      </c>
      <c r="I317" s="1">
        <v>4.094</v>
      </c>
      <c r="J317" s="1">
        <v>4.554</v>
      </c>
      <c r="K317" s="1">
        <v>401448</v>
      </c>
      <c r="L317" s="1">
        <v>401682</v>
      </c>
      <c r="M317" s="2">
        <f t="shared" si="44"/>
        <v>1.00058288993842</v>
      </c>
      <c r="N317" s="1">
        <v>434078</v>
      </c>
      <c r="O317" s="2">
        <f t="shared" si="37"/>
        <v>1.08128076363564</v>
      </c>
      <c r="P317" s="1">
        <v>213412</v>
      </c>
      <c r="Q317" s="2">
        <f t="shared" si="42"/>
        <v>0.531605587772264</v>
      </c>
      <c r="S317" s="1">
        <f t="shared" si="41"/>
        <v>1.21702404158545</v>
      </c>
      <c r="T317" s="1">
        <f t="shared" si="38"/>
        <v>1.22039420100994</v>
      </c>
      <c r="U317" s="1">
        <f t="shared" si="43"/>
        <v>1.35528219971056</v>
      </c>
      <c r="V317" s="1">
        <f t="shared" si="39"/>
        <v>1.82999511480215</v>
      </c>
      <c r="W317" s="1">
        <f t="shared" si="40"/>
        <v>1.64514712340799</v>
      </c>
    </row>
    <row r="318" spans="1:23">
      <c r="A318" s="1" t="s">
        <v>335</v>
      </c>
      <c r="B318" s="1">
        <v>9506</v>
      </c>
      <c r="C318" s="1">
        <v>9506</v>
      </c>
      <c r="D318" s="1">
        <v>408264</v>
      </c>
      <c r="E318" s="1">
        <v>7.704</v>
      </c>
      <c r="F318" s="1">
        <v>6.324</v>
      </c>
      <c r="G318" s="1">
        <v>6.142</v>
      </c>
      <c r="H318" s="1">
        <v>5.466</v>
      </c>
      <c r="I318" s="1">
        <v>4.182</v>
      </c>
      <c r="J318" s="1">
        <v>4.777</v>
      </c>
      <c r="K318" s="1">
        <v>408264</v>
      </c>
      <c r="L318" s="1">
        <v>408496</v>
      </c>
      <c r="M318" s="2">
        <f t="shared" si="44"/>
        <v>1.00056825975349</v>
      </c>
      <c r="N318" s="1">
        <v>445374</v>
      </c>
      <c r="O318" s="2">
        <f t="shared" si="37"/>
        <v>1.09089706660396</v>
      </c>
      <c r="P318" s="1">
        <v>219966</v>
      </c>
      <c r="Q318" s="2">
        <f t="shared" si="42"/>
        <v>0.538783728175886</v>
      </c>
      <c r="S318" s="1">
        <f t="shared" si="41"/>
        <v>1.21821631878558</v>
      </c>
      <c r="T318" s="1">
        <f t="shared" si="38"/>
        <v>1.25431455551937</v>
      </c>
      <c r="U318" s="1">
        <f t="shared" si="43"/>
        <v>1.40944017563117</v>
      </c>
      <c r="V318" s="1">
        <f t="shared" si="39"/>
        <v>1.84218077474892</v>
      </c>
      <c r="W318" s="1">
        <f t="shared" si="40"/>
        <v>1.61272765333892</v>
      </c>
    </row>
    <row r="319" spans="1:23">
      <c r="A319" s="1" t="s">
        <v>336</v>
      </c>
      <c r="B319" s="1">
        <v>9506</v>
      </c>
      <c r="C319" s="1">
        <v>9506</v>
      </c>
      <c r="D319" s="1">
        <v>446818</v>
      </c>
      <c r="E319" s="1">
        <v>8.437</v>
      </c>
      <c r="F319" s="1">
        <v>6.827</v>
      </c>
      <c r="G319" s="1">
        <v>6.766</v>
      </c>
      <c r="H319" s="1">
        <v>5.88</v>
      </c>
      <c r="I319" s="1">
        <v>4.563</v>
      </c>
      <c r="J319" s="1">
        <v>5.037</v>
      </c>
      <c r="K319" s="1">
        <v>446818</v>
      </c>
      <c r="L319" s="1">
        <v>447020</v>
      </c>
      <c r="M319" s="2">
        <f t="shared" si="44"/>
        <v>1.00045208563666</v>
      </c>
      <c r="N319" s="1">
        <v>495512</v>
      </c>
      <c r="O319" s="2">
        <f t="shared" si="37"/>
        <v>1.10897949500692</v>
      </c>
      <c r="P319" s="1">
        <v>241040</v>
      </c>
      <c r="Q319" s="2">
        <f t="shared" si="42"/>
        <v>0.539459019108451</v>
      </c>
      <c r="S319" s="1">
        <f t="shared" si="41"/>
        <v>1.23582832869489</v>
      </c>
      <c r="T319" s="1">
        <f t="shared" si="38"/>
        <v>1.24697014484186</v>
      </c>
      <c r="U319" s="1">
        <f t="shared" si="43"/>
        <v>1.43486394557823</v>
      </c>
      <c r="V319" s="1">
        <f t="shared" si="39"/>
        <v>1.84900284900285</v>
      </c>
      <c r="W319" s="1">
        <f t="shared" si="40"/>
        <v>1.67500496327179</v>
      </c>
    </row>
    <row r="320" spans="1:23">
      <c r="A320" s="1" t="s">
        <v>337</v>
      </c>
      <c r="B320" s="1">
        <v>9506</v>
      </c>
      <c r="C320" s="1">
        <v>9506</v>
      </c>
      <c r="D320" s="1">
        <v>474472</v>
      </c>
      <c r="E320" s="1">
        <v>8.979</v>
      </c>
      <c r="F320" s="1">
        <v>7.194</v>
      </c>
      <c r="G320" s="1">
        <v>7.176</v>
      </c>
      <c r="H320" s="1">
        <v>6.397</v>
      </c>
      <c r="I320" s="1">
        <v>4.768</v>
      </c>
      <c r="J320" s="1">
        <v>5.273</v>
      </c>
      <c r="K320" s="1">
        <v>474472</v>
      </c>
      <c r="L320" s="1">
        <v>474718</v>
      </c>
      <c r="M320" s="2">
        <f t="shared" si="44"/>
        <v>1.00051847105836</v>
      </c>
      <c r="N320" s="1">
        <v>523102</v>
      </c>
      <c r="O320" s="2">
        <f t="shared" si="37"/>
        <v>1.10249287629196</v>
      </c>
      <c r="P320" s="1">
        <v>254650</v>
      </c>
      <c r="Q320" s="2">
        <f t="shared" si="42"/>
        <v>0.536701849634963</v>
      </c>
      <c r="S320" s="1">
        <f t="shared" si="41"/>
        <v>1.24812343619683</v>
      </c>
      <c r="T320" s="1">
        <f t="shared" si="38"/>
        <v>1.25125418060201</v>
      </c>
      <c r="U320" s="1">
        <f t="shared" si="43"/>
        <v>1.40362670001563</v>
      </c>
      <c r="V320" s="1">
        <f t="shared" si="39"/>
        <v>1.88317953020134</v>
      </c>
      <c r="W320" s="1">
        <f t="shared" si="40"/>
        <v>1.70282571591125</v>
      </c>
    </row>
    <row r="321" spans="1:23">
      <c r="A321" s="1" t="s">
        <v>338</v>
      </c>
      <c r="B321" s="1">
        <v>9506</v>
      </c>
      <c r="C321" s="1">
        <v>9506</v>
      </c>
      <c r="D321" s="1">
        <v>496144</v>
      </c>
      <c r="E321" s="1">
        <v>9.422</v>
      </c>
      <c r="F321" s="1">
        <v>7.546</v>
      </c>
      <c r="G321" s="1">
        <v>7.413</v>
      </c>
      <c r="H321" s="1">
        <v>6.585</v>
      </c>
      <c r="I321" s="1">
        <v>4.983</v>
      </c>
      <c r="J321" s="1">
        <v>5.621</v>
      </c>
      <c r="K321" s="1">
        <v>496144</v>
      </c>
      <c r="L321" s="1">
        <v>496346</v>
      </c>
      <c r="M321" s="2">
        <f t="shared" si="44"/>
        <v>1.00040713986262</v>
      </c>
      <c r="N321" s="1">
        <v>548462</v>
      </c>
      <c r="O321" s="2">
        <f t="shared" si="37"/>
        <v>1.10544922441872</v>
      </c>
      <c r="P321" s="1">
        <v>266632</v>
      </c>
      <c r="Q321" s="2">
        <f t="shared" si="42"/>
        <v>0.537408494308104</v>
      </c>
      <c r="S321" s="1">
        <f t="shared" si="41"/>
        <v>1.24860853432282</v>
      </c>
      <c r="T321" s="1">
        <f t="shared" si="38"/>
        <v>1.2710103871577</v>
      </c>
      <c r="U321" s="1">
        <f t="shared" si="43"/>
        <v>1.43082763857251</v>
      </c>
      <c r="V321" s="1">
        <f t="shared" si="39"/>
        <v>1.89082881798114</v>
      </c>
      <c r="W321" s="1">
        <f t="shared" si="40"/>
        <v>1.67621419676214</v>
      </c>
    </row>
    <row r="322" spans="1:23">
      <c r="A322" s="1" t="s">
        <v>339</v>
      </c>
      <c r="B322" s="1">
        <v>9506</v>
      </c>
      <c r="C322" s="1">
        <v>9506</v>
      </c>
      <c r="D322" s="1">
        <v>539802</v>
      </c>
      <c r="E322" s="1">
        <v>10.358</v>
      </c>
      <c r="F322" s="1">
        <v>8.202</v>
      </c>
      <c r="G322" s="1">
        <v>8.126</v>
      </c>
      <c r="H322" s="1">
        <v>7.277</v>
      </c>
      <c r="I322" s="1">
        <v>5.414</v>
      </c>
      <c r="J322" s="1">
        <v>5.977</v>
      </c>
      <c r="K322" s="1">
        <v>539802</v>
      </c>
      <c r="L322" s="1">
        <v>540038</v>
      </c>
      <c r="M322" s="2">
        <f t="shared" si="44"/>
        <v>1.00043719734273</v>
      </c>
      <c r="N322" s="1">
        <v>586948</v>
      </c>
      <c r="O322" s="2">
        <f t="shared" si="37"/>
        <v>1.08733943186576</v>
      </c>
      <c r="P322" s="1">
        <v>287502</v>
      </c>
      <c r="Q322" s="2">
        <f t="shared" si="42"/>
        <v>0.53260640012449</v>
      </c>
      <c r="S322" s="1">
        <f t="shared" si="41"/>
        <v>1.26286271641063</v>
      </c>
      <c r="T322" s="1">
        <f t="shared" si="38"/>
        <v>1.27467388629092</v>
      </c>
      <c r="U322" s="1">
        <f t="shared" si="43"/>
        <v>1.42338875910403</v>
      </c>
      <c r="V322" s="1">
        <f t="shared" si="39"/>
        <v>1.91318803103066</v>
      </c>
      <c r="W322" s="1">
        <f t="shared" si="40"/>
        <v>1.73297640957002</v>
      </c>
    </row>
    <row r="323" spans="1:23">
      <c r="A323" s="1" t="s">
        <v>340</v>
      </c>
      <c r="B323" s="1">
        <v>9506</v>
      </c>
      <c r="C323" s="1">
        <v>9506</v>
      </c>
      <c r="D323" s="1">
        <v>587012</v>
      </c>
      <c r="E323" s="1">
        <v>11.473</v>
      </c>
      <c r="F323" s="1">
        <v>9.033</v>
      </c>
      <c r="G323" s="1">
        <v>8.97</v>
      </c>
      <c r="H323" s="1">
        <v>7.537</v>
      </c>
      <c r="I323" s="1">
        <v>5.848</v>
      </c>
      <c r="J323" s="1">
        <v>6.422</v>
      </c>
      <c r="K323" s="1">
        <v>587012</v>
      </c>
      <c r="L323" s="1">
        <v>587174</v>
      </c>
      <c r="M323" s="2">
        <f t="shared" si="44"/>
        <v>1.00027597391535</v>
      </c>
      <c r="N323" s="1">
        <v>629346</v>
      </c>
      <c r="O323" s="2">
        <f t="shared" ref="O323:O386" si="45">N323/K323</f>
        <v>1.07211777612723</v>
      </c>
      <c r="P323" s="1">
        <v>312344</v>
      </c>
      <c r="Q323" s="2">
        <f t="shared" si="42"/>
        <v>0.532091337144726</v>
      </c>
      <c r="S323" s="1">
        <f t="shared" si="41"/>
        <v>1.27012066865936</v>
      </c>
      <c r="T323" s="1">
        <f t="shared" ref="T323:T386" si="46">E323/G323</f>
        <v>1.27904124860647</v>
      </c>
      <c r="U323" s="1">
        <f t="shared" si="43"/>
        <v>1.52222369643094</v>
      </c>
      <c r="V323" s="1">
        <f t="shared" ref="V323:V335" si="47">E323/I323</f>
        <v>1.96186730506156</v>
      </c>
      <c r="W323" s="1">
        <f t="shared" ref="W323:W386" si="48">E323/J323</f>
        <v>1.78651510432887</v>
      </c>
    </row>
    <row r="324" spans="1:23">
      <c r="A324" s="1" t="s">
        <v>341</v>
      </c>
      <c r="B324" s="1">
        <v>9506</v>
      </c>
      <c r="C324" s="1">
        <v>9506</v>
      </c>
      <c r="D324" s="1">
        <v>629620</v>
      </c>
      <c r="E324" s="1">
        <v>12.238</v>
      </c>
      <c r="F324" s="1">
        <v>9.553</v>
      </c>
      <c r="G324" s="1">
        <v>9.56</v>
      </c>
      <c r="H324" s="1">
        <v>8.046</v>
      </c>
      <c r="I324" s="1">
        <v>6.269</v>
      </c>
      <c r="J324" s="1">
        <v>6.958</v>
      </c>
      <c r="K324" s="1">
        <v>629620</v>
      </c>
      <c r="L324" s="1">
        <v>629828</v>
      </c>
      <c r="M324" s="2">
        <f t="shared" si="44"/>
        <v>1.00033035799371</v>
      </c>
      <c r="N324" s="1">
        <v>672528</v>
      </c>
      <c r="O324" s="2">
        <f t="shared" si="45"/>
        <v>1.06814904227947</v>
      </c>
      <c r="P324" s="1">
        <v>335366</v>
      </c>
      <c r="Q324" s="2">
        <f t="shared" si="42"/>
        <v>0.532648264032273</v>
      </c>
      <c r="S324" s="1">
        <f t="shared" si="41"/>
        <v>1.28106354024914</v>
      </c>
      <c r="T324" s="1">
        <f t="shared" si="46"/>
        <v>1.28012552301255</v>
      </c>
      <c r="U324" s="1">
        <f t="shared" si="43"/>
        <v>1.52100422570221</v>
      </c>
      <c r="V324" s="1">
        <f t="shared" si="47"/>
        <v>1.95214547774765</v>
      </c>
      <c r="W324" s="1">
        <f t="shared" si="48"/>
        <v>1.75883874676631</v>
      </c>
    </row>
    <row r="325" spans="1:23">
      <c r="A325" s="1" t="s">
        <v>342</v>
      </c>
      <c r="B325" s="1">
        <v>9506</v>
      </c>
      <c r="C325" s="1">
        <v>9506</v>
      </c>
      <c r="D325" s="1">
        <v>695234</v>
      </c>
      <c r="E325" s="1">
        <v>13.47</v>
      </c>
      <c r="F325" s="1">
        <v>10.47</v>
      </c>
      <c r="G325" s="1">
        <v>10.716</v>
      </c>
      <c r="H325" s="1">
        <v>8.796</v>
      </c>
      <c r="I325" s="1">
        <v>6.98</v>
      </c>
      <c r="J325" s="1">
        <v>7.456</v>
      </c>
      <c r="K325" s="1">
        <v>695234</v>
      </c>
      <c r="L325" s="1">
        <v>695418</v>
      </c>
      <c r="M325" s="2">
        <f t="shared" si="44"/>
        <v>1.0002646590932</v>
      </c>
      <c r="N325" s="1">
        <v>737476</v>
      </c>
      <c r="O325" s="2">
        <f t="shared" si="45"/>
        <v>1.06075939899372</v>
      </c>
      <c r="P325" s="1">
        <v>365068</v>
      </c>
      <c r="Q325" s="2">
        <f t="shared" si="42"/>
        <v>0.525100901279282</v>
      </c>
      <c r="S325" s="1">
        <f t="shared" si="41"/>
        <v>1.2865329512894</v>
      </c>
      <c r="T325" s="1">
        <f t="shared" si="46"/>
        <v>1.25699888017917</v>
      </c>
      <c r="U325" s="1">
        <f t="shared" si="43"/>
        <v>1.53137789904502</v>
      </c>
      <c r="V325" s="1">
        <f t="shared" si="47"/>
        <v>1.9297994269341</v>
      </c>
      <c r="W325" s="1">
        <f t="shared" si="48"/>
        <v>1.80659871244635</v>
      </c>
    </row>
    <row r="326" spans="1:23">
      <c r="A326" s="1" t="s">
        <v>343</v>
      </c>
      <c r="B326" s="1">
        <v>9506</v>
      </c>
      <c r="C326" s="1">
        <v>9506</v>
      </c>
      <c r="D326" s="1">
        <v>818302</v>
      </c>
      <c r="E326" s="1">
        <v>16.251</v>
      </c>
      <c r="F326" s="1">
        <v>12.585</v>
      </c>
      <c r="G326" s="1">
        <v>12.542</v>
      </c>
      <c r="H326" s="1">
        <v>10.205</v>
      </c>
      <c r="I326" s="1">
        <v>8.176</v>
      </c>
      <c r="J326" s="1">
        <v>8.569</v>
      </c>
      <c r="K326" s="1">
        <v>818302</v>
      </c>
      <c r="L326" s="1">
        <v>818598</v>
      </c>
      <c r="M326" s="2">
        <f t="shared" si="44"/>
        <v>1.00036172464445</v>
      </c>
      <c r="N326" s="1">
        <v>864940</v>
      </c>
      <c r="O326" s="2">
        <f t="shared" si="45"/>
        <v>1.05699362826927</v>
      </c>
      <c r="P326" s="1">
        <v>429622</v>
      </c>
      <c r="Q326" s="2">
        <f t="shared" si="42"/>
        <v>0.525016436474553</v>
      </c>
      <c r="S326" s="1">
        <f t="shared" si="41"/>
        <v>1.29129916567342</v>
      </c>
      <c r="T326" s="1">
        <f t="shared" si="46"/>
        <v>1.29572635943231</v>
      </c>
      <c r="U326" s="1">
        <f t="shared" si="43"/>
        <v>1.59245467907888</v>
      </c>
      <c r="V326" s="1">
        <f t="shared" si="47"/>
        <v>1.98764677103718</v>
      </c>
      <c r="W326" s="1">
        <f t="shared" si="48"/>
        <v>1.89648733807912</v>
      </c>
    </row>
    <row r="327" spans="1:23">
      <c r="A327" s="1" t="s">
        <v>344</v>
      </c>
      <c r="B327" s="1">
        <v>9506</v>
      </c>
      <c r="C327" s="1">
        <v>9506</v>
      </c>
      <c r="D327" s="1">
        <v>971870</v>
      </c>
      <c r="E327" s="1">
        <v>19.122</v>
      </c>
      <c r="F327" s="1">
        <v>14.377</v>
      </c>
      <c r="G327" s="1">
        <v>15.316</v>
      </c>
      <c r="H327" s="1">
        <v>12.221</v>
      </c>
      <c r="I327" s="1">
        <v>9.905</v>
      </c>
      <c r="J327" s="1">
        <v>10.17</v>
      </c>
      <c r="K327" s="1">
        <v>971870</v>
      </c>
      <c r="L327" s="1">
        <v>972298</v>
      </c>
      <c r="M327" s="2">
        <f t="shared" si="44"/>
        <v>1.00044038811775</v>
      </c>
      <c r="N327" s="1">
        <v>1030754</v>
      </c>
      <c r="O327" s="2">
        <f t="shared" si="45"/>
        <v>1.06058835029376</v>
      </c>
      <c r="P327" s="1">
        <v>510578</v>
      </c>
      <c r="Q327" s="2">
        <f t="shared" si="42"/>
        <v>0.525356271929373</v>
      </c>
      <c r="S327" s="1">
        <f t="shared" si="41"/>
        <v>1.33004103776866</v>
      </c>
      <c r="T327" s="1">
        <f t="shared" si="46"/>
        <v>1.24849830242883</v>
      </c>
      <c r="U327" s="1">
        <f t="shared" si="43"/>
        <v>1.56468374110138</v>
      </c>
      <c r="V327" s="1">
        <f t="shared" si="47"/>
        <v>1.93054013124685</v>
      </c>
      <c r="W327" s="1">
        <f t="shared" si="48"/>
        <v>1.88023598820059</v>
      </c>
    </row>
    <row r="328" spans="1:23">
      <c r="A328" s="1" t="s">
        <v>345</v>
      </c>
      <c r="B328" s="1">
        <v>9506</v>
      </c>
      <c r="C328" s="1">
        <v>9506</v>
      </c>
      <c r="D328" s="1">
        <v>1173746</v>
      </c>
      <c r="E328" s="1">
        <v>23.453</v>
      </c>
      <c r="F328" s="1">
        <v>17.553</v>
      </c>
      <c r="G328" s="1">
        <v>18.715</v>
      </c>
      <c r="H328" s="1">
        <v>14.839</v>
      </c>
      <c r="I328" s="1">
        <v>12.027</v>
      </c>
      <c r="J328" s="1">
        <v>12.28</v>
      </c>
      <c r="K328" s="1">
        <v>1173746</v>
      </c>
      <c r="L328" s="1">
        <v>1174258</v>
      </c>
      <c r="M328" s="2">
        <f t="shared" si="44"/>
        <v>1.00043621021925</v>
      </c>
      <c r="N328" s="1">
        <v>1232728</v>
      </c>
      <c r="O328" s="2">
        <f t="shared" si="45"/>
        <v>1.05025107646799</v>
      </c>
      <c r="P328" s="1">
        <v>608086</v>
      </c>
      <c r="Q328" s="2">
        <f t="shared" si="42"/>
        <v>0.518072905040784</v>
      </c>
      <c r="S328" s="1">
        <f t="shared" si="41"/>
        <v>1.33612487893807</v>
      </c>
      <c r="T328" s="1">
        <f t="shared" si="46"/>
        <v>1.2531659096981</v>
      </c>
      <c r="U328" s="1">
        <f t="shared" si="43"/>
        <v>1.58049733809556</v>
      </c>
      <c r="V328" s="1">
        <f t="shared" si="47"/>
        <v>1.95002910118899</v>
      </c>
      <c r="W328" s="1">
        <f t="shared" si="48"/>
        <v>1.90985342019544</v>
      </c>
    </row>
    <row r="329" spans="1:23">
      <c r="A329" s="1" t="s">
        <v>346</v>
      </c>
      <c r="B329" s="1">
        <v>9506</v>
      </c>
      <c r="C329" s="1">
        <v>9506</v>
      </c>
      <c r="D329" s="1">
        <v>1358832</v>
      </c>
      <c r="E329" s="1">
        <v>27.84</v>
      </c>
      <c r="F329" s="1">
        <v>20.514</v>
      </c>
      <c r="G329" s="1">
        <v>21.529</v>
      </c>
      <c r="H329" s="1">
        <v>17.435</v>
      </c>
      <c r="I329" s="1">
        <v>14.12</v>
      </c>
      <c r="J329" s="1">
        <v>14.196</v>
      </c>
      <c r="K329" s="1">
        <v>1358832</v>
      </c>
      <c r="L329" s="1">
        <v>1359534</v>
      </c>
      <c r="M329" s="2">
        <f t="shared" si="44"/>
        <v>1.00051662015613</v>
      </c>
      <c r="N329" s="1">
        <v>1433724</v>
      </c>
      <c r="O329" s="2">
        <f t="shared" si="45"/>
        <v>1.05511498110142</v>
      </c>
      <c r="P329" s="1">
        <v>704396</v>
      </c>
      <c r="Q329" s="2">
        <f t="shared" si="42"/>
        <v>0.518383435185512</v>
      </c>
      <c r="S329" s="1">
        <f t="shared" ref="S329:S392" si="49">E329/F329</f>
        <v>1.35712196548698</v>
      </c>
      <c r="T329" s="1">
        <f t="shared" si="46"/>
        <v>1.29313948627433</v>
      </c>
      <c r="U329" s="1">
        <f t="shared" si="43"/>
        <v>1.59678806997419</v>
      </c>
      <c r="V329" s="1">
        <f t="shared" si="47"/>
        <v>1.97167138810198</v>
      </c>
      <c r="W329" s="1">
        <f t="shared" si="48"/>
        <v>1.96111580726965</v>
      </c>
    </row>
    <row r="330" spans="1:23">
      <c r="A330" s="1" t="s">
        <v>347</v>
      </c>
      <c r="B330" s="1">
        <v>9506</v>
      </c>
      <c r="C330" s="1">
        <v>9506</v>
      </c>
      <c r="D330" s="1">
        <v>1506810</v>
      </c>
      <c r="E330" s="1">
        <v>30.904</v>
      </c>
      <c r="F330" s="1">
        <v>22.478</v>
      </c>
      <c r="G330" s="1">
        <v>23.95</v>
      </c>
      <c r="H330" s="1">
        <v>19.598</v>
      </c>
      <c r="I330" s="1">
        <v>15.897</v>
      </c>
      <c r="J330" s="1">
        <v>15.521</v>
      </c>
      <c r="K330" s="1">
        <v>1506810</v>
      </c>
      <c r="L330" s="1">
        <v>1507740</v>
      </c>
      <c r="M330" s="2">
        <f t="shared" si="44"/>
        <v>1.00061719792144</v>
      </c>
      <c r="N330" s="1">
        <v>1594684</v>
      </c>
      <c r="O330" s="2">
        <f t="shared" si="45"/>
        <v>1.0583179033853</v>
      </c>
      <c r="P330" s="1">
        <v>777846</v>
      </c>
      <c r="Q330" s="2">
        <f t="shared" si="42"/>
        <v>0.516220359567563</v>
      </c>
      <c r="S330" s="1">
        <f t="shared" si="49"/>
        <v>1.37485541418276</v>
      </c>
      <c r="T330" s="1">
        <f t="shared" si="46"/>
        <v>1.29035490605428</v>
      </c>
      <c r="U330" s="1">
        <f t="shared" si="43"/>
        <v>1.576895601592</v>
      </c>
      <c r="V330" s="1">
        <f t="shared" si="47"/>
        <v>1.94401459394854</v>
      </c>
      <c r="W330" s="1">
        <f t="shared" si="48"/>
        <v>1.99110882030797</v>
      </c>
    </row>
    <row r="331" spans="1:23">
      <c r="A331" s="1" t="s">
        <v>348</v>
      </c>
      <c r="B331" s="1">
        <v>9506</v>
      </c>
      <c r="C331" s="1">
        <v>9506</v>
      </c>
      <c r="D331" s="1">
        <v>1506550</v>
      </c>
      <c r="E331" s="1">
        <v>31.056</v>
      </c>
      <c r="F331" s="1">
        <v>22.664</v>
      </c>
      <c r="G331" s="1">
        <v>23.801</v>
      </c>
      <c r="H331" s="1">
        <v>20.103</v>
      </c>
      <c r="I331" s="1">
        <v>15.794</v>
      </c>
      <c r="J331" s="1">
        <v>15.772</v>
      </c>
      <c r="K331" s="1">
        <v>1506550</v>
      </c>
      <c r="L331" s="1">
        <v>1507454</v>
      </c>
      <c r="M331" s="2">
        <f t="shared" si="44"/>
        <v>1.00060004646377</v>
      </c>
      <c r="N331" s="1">
        <v>1606088</v>
      </c>
      <c r="O331" s="2">
        <f t="shared" si="45"/>
        <v>1.06607016030002</v>
      </c>
      <c r="P331" s="1">
        <v>784952</v>
      </c>
      <c r="Q331" s="2">
        <f t="shared" si="42"/>
        <v>0.521026185655969</v>
      </c>
      <c r="S331" s="1">
        <f t="shared" si="49"/>
        <v>1.37027885633604</v>
      </c>
      <c r="T331" s="1">
        <f t="shared" si="46"/>
        <v>1.30481912524684</v>
      </c>
      <c r="U331" s="1">
        <f t="shared" si="43"/>
        <v>1.5448440531264</v>
      </c>
      <c r="V331" s="1">
        <f t="shared" si="47"/>
        <v>1.96631632265417</v>
      </c>
      <c r="W331" s="1">
        <f t="shared" si="48"/>
        <v>1.96905909206188</v>
      </c>
    </row>
    <row r="332" spans="1:23">
      <c r="A332" s="1" t="s">
        <v>349</v>
      </c>
      <c r="B332" s="1">
        <v>9506</v>
      </c>
      <c r="C332" s="1">
        <v>9506</v>
      </c>
      <c r="D332" s="1">
        <v>1511758</v>
      </c>
      <c r="E332" s="1">
        <v>30.966</v>
      </c>
      <c r="F332" s="1">
        <v>22.53</v>
      </c>
      <c r="G332" s="1">
        <v>24.227</v>
      </c>
      <c r="H332" s="1">
        <v>20.087</v>
      </c>
      <c r="I332" s="1">
        <v>15.823</v>
      </c>
      <c r="J332" s="1">
        <v>15.797</v>
      </c>
      <c r="K332" s="1">
        <v>1511758</v>
      </c>
      <c r="L332" s="1">
        <v>1512656</v>
      </c>
      <c r="M332" s="2">
        <f t="shared" si="44"/>
        <v>1.00059401041701</v>
      </c>
      <c r="N332" s="1">
        <v>1609540</v>
      </c>
      <c r="O332" s="2">
        <f t="shared" si="45"/>
        <v>1.06468098730088</v>
      </c>
      <c r="P332" s="1">
        <v>786220</v>
      </c>
      <c r="Q332" s="2">
        <f t="shared" si="42"/>
        <v>0.520070011205497</v>
      </c>
      <c r="S332" s="1">
        <f t="shared" si="49"/>
        <v>1.37443408788282</v>
      </c>
      <c r="T332" s="1">
        <f t="shared" si="46"/>
        <v>1.27816072976431</v>
      </c>
      <c r="U332" s="1">
        <f t="shared" si="43"/>
        <v>1.54159406581371</v>
      </c>
      <c r="V332" s="1">
        <f t="shared" si="47"/>
        <v>1.95702458446565</v>
      </c>
      <c r="W332" s="1">
        <f t="shared" si="48"/>
        <v>1.96024561625625</v>
      </c>
    </row>
    <row r="333" spans="1:23">
      <c r="A333" s="1" t="s">
        <v>350</v>
      </c>
      <c r="B333" s="1">
        <v>9506</v>
      </c>
      <c r="C333" s="1">
        <v>9506</v>
      </c>
      <c r="D333" s="1">
        <v>1511760</v>
      </c>
      <c r="E333" s="1">
        <v>30.878</v>
      </c>
      <c r="F333" s="1">
        <v>22.529</v>
      </c>
      <c r="G333" s="1">
        <v>24.133</v>
      </c>
      <c r="H333" s="1">
        <v>20.164</v>
      </c>
      <c r="I333" s="1">
        <v>15.787</v>
      </c>
      <c r="J333" s="1">
        <v>15.714</v>
      </c>
      <c r="K333" s="1">
        <v>1511760</v>
      </c>
      <c r="L333" s="1">
        <v>1512658</v>
      </c>
      <c r="M333" s="2">
        <f t="shared" si="44"/>
        <v>1.00059400963116</v>
      </c>
      <c r="N333" s="1">
        <v>1609542</v>
      </c>
      <c r="O333" s="2">
        <f t="shared" si="45"/>
        <v>1.06468090173043</v>
      </c>
      <c r="P333" s="1">
        <v>786220</v>
      </c>
      <c r="Q333" s="2">
        <f t="shared" si="42"/>
        <v>0.52006932317299</v>
      </c>
      <c r="S333" s="1">
        <f t="shared" si="49"/>
        <v>1.37058901859825</v>
      </c>
      <c r="T333" s="1">
        <f t="shared" si="46"/>
        <v>1.27949281067418</v>
      </c>
      <c r="U333" s="1">
        <f t="shared" si="43"/>
        <v>1.53134298750248</v>
      </c>
      <c r="V333" s="1">
        <f t="shared" si="47"/>
        <v>1.95591309305124</v>
      </c>
      <c r="W333" s="1">
        <f t="shared" si="48"/>
        <v>1.96499936362479</v>
      </c>
    </row>
    <row r="334" spans="1:23">
      <c r="A334" s="1" t="s">
        <v>351</v>
      </c>
      <c r="B334" s="1">
        <v>3542400</v>
      </c>
      <c r="C334" s="1">
        <v>3542400</v>
      </c>
      <c r="D334" s="1">
        <v>96845792</v>
      </c>
      <c r="E334" s="1">
        <v>259.6783</v>
      </c>
      <c r="F334" s="1">
        <v>239.0016</v>
      </c>
      <c r="G334" s="1">
        <v>236.9658</v>
      </c>
      <c r="H334" s="1">
        <v>254.5207</v>
      </c>
      <c r="I334" s="1">
        <v>142.0132</v>
      </c>
      <c r="J334" s="1">
        <v>157.9073</v>
      </c>
      <c r="K334" s="1">
        <v>96845792</v>
      </c>
      <c r="L334" s="1">
        <v>96849098</v>
      </c>
      <c r="M334" s="2">
        <f t="shared" si="44"/>
        <v>1.00003413674391</v>
      </c>
      <c r="N334" s="1">
        <v>131485504</v>
      </c>
      <c r="O334" s="2">
        <f t="shared" si="45"/>
        <v>1.35767906157451</v>
      </c>
      <c r="P334" s="1">
        <v>50453288</v>
      </c>
      <c r="Q334" s="2">
        <f t="shared" si="42"/>
        <v>0.520965206211541</v>
      </c>
      <c r="S334" s="1">
        <f t="shared" si="49"/>
        <v>1.08651280995608</v>
      </c>
      <c r="T334" s="1">
        <f t="shared" si="46"/>
        <v>1.09584716444314</v>
      </c>
      <c r="U334" s="1">
        <f t="shared" si="43"/>
        <v>1.02026397067115</v>
      </c>
      <c r="V334" s="1">
        <f t="shared" si="47"/>
        <v>1.82855044460656</v>
      </c>
      <c r="W334" s="1">
        <f t="shared" si="48"/>
        <v>1.64449838607841</v>
      </c>
    </row>
    <row r="335" spans="1:23">
      <c r="A335" s="1" t="s">
        <v>352</v>
      </c>
      <c r="B335" s="1">
        <v>1062400</v>
      </c>
      <c r="C335" s="1">
        <v>1062400</v>
      </c>
      <c r="D335" s="1">
        <v>28704672</v>
      </c>
      <c r="E335" s="1">
        <v>724.622</v>
      </c>
      <c r="F335" s="1">
        <v>664.319</v>
      </c>
      <c r="G335" s="1">
        <v>696.04</v>
      </c>
      <c r="H335" s="1">
        <v>706.553</v>
      </c>
      <c r="I335" s="1">
        <v>378.167</v>
      </c>
      <c r="J335" s="1">
        <v>449.781</v>
      </c>
      <c r="K335" s="1">
        <v>28704672</v>
      </c>
      <c r="L335" s="1">
        <v>28706142</v>
      </c>
      <c r="M335" s="2">
        <f t="shared" si="44"/>
        <v>1.00005121117566</v>
      </c>
      <c r="N335" s="1">
        <v>38978624</v>
      </c>
      <c r="O335" s="2">
        <f t="shared" si="45"/>
        <v>1.35791915685363</v>
      </c>
      <c r="P335" s="1">
        <v>14998728</v>
      </c>
      <c r="Q335" s="2">
        <f t="shared" ref="Q335:Q398" si="50">P335/K335</f>
        <v>0.522518703575502</v>
      </c>
      <c r="S335" s="1">
        <f t="shared" si="49"/>
        <v>1.0907741612087</v>
      </c>
      <c r="T335" s="1">
        <f t="shared" si="46"/>
        <v>1.04106373196943</v>
      </c>
      <c r="U335" s="1">
        <f t="shared" si="43"/>
        <v>1.02557345308844</v>
      </c>
      <c r="V335" s="1">
        <f t="shared" si="47"/>
        <v>1.91614286809796</v>
      </c>
      <c r="W335" s="1">
        <f t="shared" si="48"/>
        <v>1.61105515795465</v>
      </c>
    </row>
    <row r="336" spans="1:23">
      <c r="A336" s="1" t="s">
        <v>353</v>
      </c>
      <c r="B336" s="1">
        <v>40000</v>
      </c>
      <c r="C336" s="1">
        <v>40000</v>
      </c>
      <c r="D336" s="1">
        <v>197608</v>
      </c>
      <c r="E336" s="1">
        <v>4.245</v>
      </c>
      <c r="F336" s="1">
        <v>8.617</v>
      </c>
      <c r="G336" s="1">
        <v>3.989</v>
      </c>
      <c r="H336" s="1">
        <v>5.342</v>
      </c>
      <c r="I336" s="1">
        <v>3.864</v>
      </c>
      <c r="J336" s="1">
        <v>3.767</v>
      </c>
      <c r="K336" s="1">
        <v>197608</v>
      </c>
      <c r="L336" s="1">
        <v>197634</v>
      </c>
      <c r="M336" s="2">
        <f t="shared" si="44"/>
        <v>1.0001315736205</v>
      </c>
      <c r="N336" s="1">
        <v>316016</v>
      </c>
      <c r="O336" s="2">
        <f t="shared" si="45"/>
        <v>1.5992065098579</v>
      </c>
      <c r="P336" s="1">
        <v>119400</v>
      </c>
      <c r="Q336" s="2">
        <f t="shared" si="50"/>
        <v>0.604226549532408</v>
      </c>
      <c r="S336" s="1">
        <f t="shared" si="49"/>
        <v>0.492630846002089</v>
      </c>
      <c r="T336" s="1">
        <f t="shared" si="46"/>
        <v>1.06417648533467</v>
      </c>
      <c r="U336" s="1">
        <f t="shared" si="43"/>
        <v>0.794646199925122</v>
      </c>
      <c r="V336" s="1">
        <f t="shared" ref="V336:V367" si="51">E336/I336</f>
        <v>1.09860248447205</v>
      </c>
      <c r="W336" s="1">
        <f t="shared" si="48"/>
        <v>1.12689142553756</v>
      </c>
    </row>
    <row r="337" spans="1:23">
      <c r="A337" s="1" t="s">
        <v>354</v>
      </c>
      <c r="B337" s="1">
        <v>259789</v>
      </c>
      <c r="C337" s="1">
        <v>259789</v>
      </c>
      <c r="D337" s="1">
        <v>4242673</v>
      </c>
      <c r="E337" s="1">
        <v>123.73</v>
      </c>
      <c r="F337" s="1">
        <v>130.264</v>
      </c>
      <c r="G337" s="1">
        <v>126.925</v>
      </c>
      <c r="H337" s="1">
        <v>166.265</v>
      </c>
      <c r="I337" s="1">
        <v>152.041</v>
      </c>
      <c r="J337" s="1">
        <v>105.178</v>
      </c>
      <c r="K337" s="1">
        <v>4242673</v>
      </c>
      <c r="L337" s="1">
        <v>4246728</v>
      </c>
      <c r="M337" s="2">
        <f t="shared" si="44"/>
        <v>1.00095576538659</v>
      </c>
      <c r="N337" s="1">
        <v>8219780</v>
      </c>
      <c r="O337" s="2">
        <f t="shared" si="45"/>
        <v>1.93740597024564</v>
      </c>
      <c r="P337" s="1">
        <v>4038864</v>
      </c>
      <c r="Q337" s="2">
        <f t="shared" si="50"/>
        <v>0.951962123878036</v>
      </c>
      <c r="S337" s="1">
        <f t="shared" si="49"/>
        <v>0.94984032426457</v>
      </c>
      <c r="T337" s="1">
        <f t="shared" si="46"/>
        <v>0.974827654126453</v>
      </c>
      <c r="U337" s="1">
        <f t="shared" si="43"/>
        <v>0.744173458033862</v>
      </c>
      <c r="V337" s="1">
        <f t="shared" si="51"/>
        <v>0.813793647766063</v>
      </c>
      <c r="W337" s="1">
        <f t="shared" si="48"/>
        <v>1.17638669683774</v>
      </c>
    </row>
    <row r="338" spans="1:23">
      <c r="A338" s="1" t="s">
        <v>355</v>
      </c>
      <c r="B338" s="1">
        <v>73752</v>
      </c>
      <c r="C338" s="1">
        <v>73752</v>
      </c>
      <c r="D338" s="1">
        <v>3597188</v>
      </c>
      <c r="E338" s="1">
        <v>84.367</v>
      </c>
      <c r="F338" s="1">
        <v>73.567</v>
      </c>
      <c r="G338" s="1">
        <v>72.132</v>
      </c>
      <c r="H338" s="1">
        <v>53.961</v>
      </c>
      <c r="I338" s="1">
        <v>37.121</v>
      </c>
      <c r="J338" s="1">
        <v>45.545</v>
      </c>
      <c r="K338" s="1">
        <v>3597188</v>
      </c>
      <c r="L338" s="1">
        <v>3599484</v>
      </c>
      <c r="M338" s="2">
        <f t="shared" si="44"/>
        <v>1.00063827634252</v>
      </c>
      <c r="N338" s="1">
        <v>3811906</v>
      </c>
      <c r="O338" s="2">
        <f t="shared" si="45"/>
        <v>1.05969051381246</v>
      </c>
      <c r="P338" s="1">
        <v>1871896</v>
      </c>
      <c r="Q338" s="2">
        <f t="shared" si="50"/>
        <v>0.520377583823809</v>
      </c>
      <c r="S338" s="1">
        <f t="shared" si="49"/>
        <v>1.14680495330787</v>
      </c>
      <c r="T338" s="1">
        <f t="shared" si="46"/>
        <v>1.16961958631398</v>
      </c>
      <c r="U338" s="1">
        <f t="shared" si="43"/>
        <v>1.56348103259762</v>
      </c>
      <c r="V338" s="1">
        <f t="shared" si="51"/>
        <v>2.27275666065031</v>
      </c>
      <c r="W338" s="1">
        <f t="shared" si="48"/>
        <v>1.85238774838072</v>
      </c>
    </row>
    <row r="339" spans="1:23">
      <c r="A339" s="1" t="s">
        <v>356</v>
      </c>
      <c r="B339" s="1">
        <v>16146</v>
      </c>
      <c r="C339" s="1">
        <v>16146</v>
      </c>
      <c r="D339" s="1">
        <v>1015156</v>
      </c>
      <c r="E339" s="1">
        <v>19.746</v>
      </c>
      <c r="F339" s="1">
        <v>15.232</v>
      </c>
      <c r="G339" s="1">
        <v>16.114</v>
      </c>
      <c r="H339" s="1">
        <v>12.714</v>
      </c>
      <c r="I339" s="1">
        <v>10.076</v>
      </c>
      <c r="J339" s="1">
        <v>11.009</v>
      </c>
      <c r="K339" s="1">
        <v>1015156</v>
      </c>
      <c r="L339" s="1">
        <v>1015384</v>
      </c>
      <c r="M339" s="2">
        <f t="shared" si="44"/>
        <v>1.00022459602268</v>
      </c>
      <c r="N339" s="1">
        <v>1081402</v>
      </c>
      <c r="O339" s="2">
        <f t="shared" si="45"/>
        <v>1.06525696543191</v>
      </c>
      <c r="P339" s="1">
        <v>532356</v>
      </c>
      <c r="Q339" s="2">
        <f t="shared" si="50"/>
        <v>0.524408071271805</v>
      </c>
      <c r="S339" s="1">
        <f t="shared" si="49"/>
        <v>1.29634978991597</v>
      </c>
      <c r="T339" s="1">
        <f t="shared" si="46"/>
        <v>1.2253940672707</v>
      </c>
      <c r="U339" s="1">
        <f t="shared" ref="U339:U402" si="52">E339/H339</f>
        <v>1.55309108069844</v>
      </c>
      <c r="V339" s="1">
        <f t="shared" si="51"/>
        <v>1.959706232632</v>
      </c>
      <c r="W339" s="1">
        <f t="shared" si="48"/>
        <v>1.79362339903715</v>
      </c>
    </row>
    <row r="340" spans="1:23">
      <c r="A340" s="1" t="s">
        <v>357</v>
      </c>
      <c r="B340" s="1">
        <v>88263</v>
      </c>
      <c r="C340" s="1">
        <v>88263</v>
      </c>
      <c r="D340" s="1">
        <v>744216</v>
      </c>
      <c r="E340" s="1">
        <v>16.957</v>
      </c>
      <c r="F340" s="1">
        <v>18.952</v>
      </c>
      <c r="G340" s="1">
        <v>14.882</v>
      </c>
      <c r="H340" s="1">
        <v>19.159</v>
      </c>
      <c r="I340" s="1">
        <v>16.164</v>
      </c>
      <c r="J340" s="1">
        <v>16.238</v>
      </c>
      <c r="K340" s="1">
        <v>744216</v>
      </c>
      <c r="L340" s="1">
        <v>744530</v>
      </c>
      <c r="M340" s="2">
        <f t="shared" si="44"/>
        <v>1.0004219205177</v>
      </c>
      <c r="N340" s="1">
        <v>1152784</v>
      </c>
      <c r="O340" s="2">
        <f t="shared" si="45"/>
        <v>1.54899115310609</v>
      </c>
      <c r="P340" s="1">
        <v>575942</v>
      </c>
      <c r="Q340" s="2">
        <f t="shared" si="50"/>
        <v>0.773890913390736</v>
      </c>
      <c r="S340" s="1">
        <f t="shared" si="49"/>
        <v>0.894734065006332</v>
      </c>
      <c r="T340" s="1">
        <f t="shared" si="46"/>
        <v>1.13943018411504</v>
      </c>
      <c r="U340" s="1">
        <f t="shared" si="52"/>
        <v>0.885067070306384</v>
      </c>
      <c r="V340" s="1">
        <f t="shared" si="51"/>
        <v>1.04905963870329</v>
      </c>
      <c r="W340" s="1">
        <f t="shared" si="48"/>
        <v>1.04427885207538</v>
      </c>
    </row>
    <row r="341" spans="1:23">
      <c r="A341" s="1" t="s">
        <v>358</v>
      </c>
      <c r="B341" s="1">
        <v>43887</v>
      </c>
      <c r="C341" s="1">
        <v>43887</v>
      </c>
      <c r="D341" s="1">
        <v>467711</v>
      </c>
      <c r="E341" s="1">
        <v>9.94</v>
      </c>
      <c r="F341" s="1">
        <v>10.365</v>
      </c>
      <c r="G341" s="1">
        <v>9.29</v>
      </c>
      <c r="H341" s="1">
        <v>8.623</v>
      </c>
      <c r="I341" s="1">
        <v>8.041</v>
      </c>
      <c r="J341" s="1">
        <v>10.115</v>
      </c>
      <c r="K341" s="1">
        <v>467711</v>
      </c>
      <c r="L341" s="1">
        <v>467902</v>
      </c>
      <c r="M341" s="2">
        <f t="shared" si="44"/>
        <v>1.00040837183645</v>
      </c>
      <c r="N341" s="1">
        <v>493548</v>
      </c>
      <c r="O341" s="2">
        <f t="shared" si="45"/>
        <v>1.05524137768836</v>
      </c>
      <c r="P341" s="1">
        <v>267684</v>
      </c>
      <c r="Q341" s="2">
        <f t="shared" si="50"/>
        <v>0.572327783609964</v>
      </c>
      <c r="S341" s="1">
        <f t="shared" si="49"/>
        <v>0.958996623251327</v>
      </c>
      <c r="T341" s="1">
        <f t="shared" si="46"/>
        <v>1.06996770721206</v>
      </c>
      <c r="U341" s="1">
        <f t="shared" si="52"/>
        <v>1.15273106807376</v>
      </c>
      <c r="V341" s="1">
        <f t="shared" si="51"/>
        <v>1.2361646561373</v>
      </c>
      <c r="W341" s="1">
        <f t="shared" si="48"/>
        <v>0.982698961937716</v>
      </c>
    </row>
    <row r="342" spans="1:23">
      <c r="A342" s="1" t="s">
        <v>359</v>
      </c>
      <c r="B342" s="1">
        <v>15435</v>
      </c>
      <c r="C342" s="1">
        <v>15435</v>
      </c>
      <c r="D342" s="1">
        <v>158273</v>
      </c>
      <c r="E342" s="1">
        <v>3.019</v>
      </c>
      <c r="F342" s="1">
        <v>3.118</v>
      </c>
      <c r="G342" s="1">
        <v>2.587</v>
      </c>
      <c r="H342" s="1">
        <v>2.469</v>
      </c>
      <c r="I342" s="1">
        <v>2.307</v>
      </c>
      <c r="J342" s="1">
        <v>2.817</v>
      </c>
      <c r="K342" s="1">
        <v>158273</v>
      </c>
      <c r="L342" s="1">
        <v>158336</v>
      </c>
      <c r="M342" s="2">
        <f t="shared" si="44"/>
        <v>1.00039804641348</v>
      </c>
      <c r="N342" s="1">
        <v>167406</v>
      </c>
      <c r="O342" s="2">
        <f t="shared" si="45"/>
        <v>1.05770409355986</v>
      </c>
      <c r="P342" s="1">
        <v>91018</v>
      </c>
      <c r="Q342" s="2">
        <f t="shared" si="50"/>
        <v>0.575069658122358</v>
      </c>
      <c r="S342" s="1">
        <f t="shared" si="49"/>
        <v>0.968248877485568</v>
      </c>
      <c r="T342" s="1">
        <f t="shared" si="46"/>
        <v>1.16698879010437</v>
      </c>
      <c r="U342" s="1">
        <f t="shared" si="52"/>
        <v>1.22276225192386</v>
      </c>
      <c r="V342" s="1">
        <f t="shared" si="51"/>
        <v>1.30862592110967</v>
      </c>
      <c r="W342" s="1">
        <f t="shared" si="48"/>
        <v>1.07170749023784</v>
      </c>
    </row>
    <row r="343" spans="1:23">
      <c r="A343" s="1" t="s">
        <v>360</v>
      </c>
      <c r="B343" s="1">
        <v>29902</v>
      </c>
      <c r="C343" s="1">
        <v>29902</v>
      </c>
      <c r="D343" s="1">
        <v>302418</v>
      </c>
      <c r="E343" s="1">
        <v>6.232</v>
      </c>
      <c r="F343" s="1">
        <v>6.356</v>
      </c>
      <c r="G343" s="1">
        <v>5.53</v>
      </c>
      <c r="H343" s="1">
        <v>4.734</v>
      </c>
      <c r="I343" s="1">
        <v>4.348</v>
      </c>
      <c r="J343" s="1">
        <v>6.049</v>
      </c>
      <c r="K343" s="1">
        <v>302418</v>
      </c>
      <c r="L343" s="1">
        <v>302454</v>
      </c>
      <c r="M343" s="2">
        <f t="shared" si="44"/>
        <v>1.0001190405333</v>
      </c>
      <c r="N343" s="1">
        <v>322536</v>
      </c>
      <c r="O343" s="2">
        <f t="shared" si="45"/>
        <v>1.0665238180267</v>
      </c>
      <c r="P343" s="1">
        <v>174778</v>
      </c>
      <c r="Q343" s="2">
        <f t="shared" si="50"/>
        <v>0.577935175816254</v>
      </c>
      <c r="S343" s="1">
        <f t="shared" si="49"/>
        <v>0.980490874764003</v>
      </c>
      <c r="T343" s="1">
        <f t="shared" si="46"/>
        <v>1.12694394213382</v>
      </c>
      <c r="U343" s="1">
        <f t="shared" si="52"/>
        <v>1.31643430502746</v>
      </c>
      <c r="V343" s="1">
        <f t="shared" si="51"/>
        <v>1.43330266789328</v>
      </c>
      <c r="W343" s="1">
        <f t="shared" si="48"/>
        <v>1.03025293436932</v>
      </c>
    </row>
    <row r="344" spans="1:23">
      <c r="A344" s="1" t="s">
        <v>361</v>
      </c>
      <c r="B344" s="1">
        <v>5620</v>
      </c>
      <c r="C344" s="1">
        <v>5620</v>
      </c>
      <c r="D344" s="1">
        <v>79650</v>
      </c>
      <c r="E344" s="1">
        <v>1.458</v>
      </c>
      <c r="F344" s="1">
        <v>1.524</v>
      </c>
      <c r="G344" s="1">
        <v>1.207</v>
      </c>
      <c r="H344" s="1">
        <v>2.06</v>
      </c>
      <c r="I344" s="1">
        <v>1.954</v>
      </c>
      <c r="J344" s="1">
        <v>1.41</v>
      </c>
      <c r="K344" s="1">
        <v>79650</v>
      </c>
      <c r="L344" s="1">
        <v>79822</v>
      </c>
      <c r="M344" s="2">
        <f t="shared" si="44"/>
        <v>1.00215944758318</v>
      </c>
      <c r="N344" s="1">
        <v>157524</v>
      </c>
      <c r="O344" s="2">
        <f t="shared" si="45"/>
        <v>1.97770244821092</v>
      </c>
      <c r="P344" s="1">
        <v>83758</v>
      </c>
      <c r="Q344" s="2">
        <f t="shared" si="50"/>
        <v>1.05157564344005</v>
      </c>
      <c r="S344" s="1">
        <f t="shared" si="49"/>
        <v>0.956692913385827</v>
      </c>
      <c r="T344" s="1">
        <f t="shared" si="46"/>
        <v>1.2079536039768</v>
      </c>
      <c r="U344" s="1">
        <f t="shared" si="52"/>
        <v>0.707766990291262</v>
      </c>
      <c r="V344" s="1">
        <f t="shared" si="51"/>
        <v>0.746161719549642</v>
      </c>
      <c r="W344" s="1">
        <f t="shared" si="48"/>
        <v>1.03404255319149</v>
      </c>
    </row>
    <row r="345" spans="1:23">
      <c r="A345" s="1" t="s">
        <v>362</v>
      </c>
      <c r="B345" s="1">
        <v>525825</v>
      </c>
      <c r="C345" s="1">
        <v>525825</v>
      </c>
      <c r="D345" s="1">
        <v>3674625</v>
      </c>
      <c r="E345" s="1">
        <v>129.939</v>
      </c>
      <c r="F345" s="1">
        <v>143.997</v>
      </c>
      <c r="G345" s="1">
        <v>134.263</v>
      </c>
      <c r="H345" s="1">
        <v>158.462</v>
      </c>
      <c r="I345" s="1">
        <v>139.408</v>
      </c>
      <c r="J345" s="1">
        <v>113.563</v>
      </c>
      <c r="K345" s="1">
        <v>3674625</v>
      </c>
      <c r="L345" s="1">
        <v>3674646</v>
      </c>
      <c r="M345" s="2">
        <f t="shared" si="44"/>
        <v>1.00000571486886</v>
      </c>
      <c r="N345" s="1">
        <v>5953220</v>
      </c>
      <c r="O345" s="2">
        <f t="shared" si="45"/>
        <v>1.62008912474062</v>
      </c>
      <c r="P345" s="1">
        <v>2849286</v>
      </c>
      <c r="Q345" s="2">
        <f t="shared" si="50"/>
        <v>0.775395040310236</v>
      </c>
      <c r="S345" s="1">
        <f t="shared" si="49"/>
        <v>0.90237296610346</v>
      </c>
      <c r="T345" s="1">
        <f t="shared" si="46"/>
        <v>0.967794552482814</v>
      </c>
      <c r="U345" s="1">
        <f t="shared" si="52"/>
        <v>0.820001009705797</v>
      </c>
      <c r="V345" s="1">
        <f t="shared" si="51"/>
        <v>0.932077068747848</v>
      </c>
      <c r="W345" s="1">
        <f t="shared" si="48"/>
        <v>1.14420189674454</v>
      </c>
    </row>
    <row r="346" spans="1:23">
      <c r="A346" s="1" t="s">
        <v>363</v>
      </c>
      <c r="B346" s="1">
        <v>36417</v>
      </c>
      <c r="C346" s="1">
        <v>36417</v>
      </c>
      <c r="D346" s="1">
        <v>4344765</v>
      </c>
      <c r="E346" s="1">
        <v>103.067</v>
      </c>
      <c r="F346" s="1">
        <v>85.268</v>
      </c>
      <c r="G346" s="1">
        <v>87.22</v>
      </c>
      <c r="H346" s="1">
        <v>71.722</v>
      </c>
      <c r="I346" s="1">
        <v>48.47</v>
      </c>
      <c r="J346" s="1">
        <v>49.961</v>
      </c>
      <c r="K346" s="1">
        <v>4344765</v>
      </c>
      <c r="L346" s="1">
        <v>4349976</v>
      </c>
      <c r="M346" s="2">
        <f t="shared" si="44"/>
        <v>1.00119937441956</v>
      </c>
      <c r="N346" s="1">
        <v>4562892</v>
      </c>
      <c r="O346" s="2">
        <f t="shared" si="45"/>
        <v>1.05020455651802</v>
      </c>
      <c r="P346" s="1">
        <v>2228640</v>
      </c>
      <c r="Q346" s="2">
        <f t="shared" si="50"/>
        <v>0.512948341279678</v>
      </c>
      <c r="S346" s="1">
        <f t="shared" si="49"/>
        <v>1.20874184922832</v>
      </c>
      <c r="T346" s="1">
        <f t="shared" si="46"/>
        <v>1.18168997936253</v>
      </c>
      <c r="U346" s="1">
        <f t="shared" si="52"/>
        <v>1.43703466161011</v>
      </c>
      <c r="V346" s="1">
        <f t="shared" si="51"/>
        <v>2.12640808747679</v>
      </c>
      <c r="W346" s="1">
        <f t="shared" si="48"/>
        <v>2.06294910029823</v>
      </c>
    </row>
    <row r="347" spans="1:23">
      <c r="A347" s="1" t="s">
        <v>364</v>
      </c>
      <c r="B347" s="1">
        <v>742793</v>
      </c>
      <c r="C347" s="1">
        <v>742793</v>
      </c>
      <c r="D347" s="1">
        <v>37138461</v>
      </c>
      <c r="E347" s="1">
        <v>964.487</v>
      </c>
      <c r="F347" s="1">
        <v>815.928</v>
      </c>
      <c r="G347" s="1">
        <v>825.941</v>
      </c>
      <c r="H347" s="1">
        <v>811.714</v>
      </c>
      <c r="I347" s="1">
        <v>486.024</v>
      </c>
      <c r="J347" s="1">
        <v>458.422</v>
      </c>
      <c r="K347" s="1">
        <v>37138461</v>
      </c>
      <c r="L347" s="1">
        <v>37169944</v>
      </c>
      <c r="M347" s="2">
        <f t="shared" si="44"/>
        <v>1.0008477195649</v>
      </c>
      <c r="N347" s="1">
        <v>45666938</v>
      </c>
      <c r="O347" s="2">
        <f t="shared" si="45"/>
        <v>1.22964002197075</v>
      </c>
      <c r="P347" s="1">
        <v>20529452</v>
      </c>
      <c r="Q347" s="2">
        <f t="shared" si="50"/>
        <v>0.552781441320361</v>
      </c>
      <c r="S347" s="1">
        <f t="shared" si="49"/>
        <v>1.18207366336245</v>
      </c>
      <c r="T347" s="1">
        <f t="shared" si="46"/>
        <v>1.16774321652515</v>
      </c>
      <c r="U347" s="1">
        <f t="shared" si="52"/>
        <v>1.18821037951791</v>
      </c>
      <c r="V347" s="1">
        <f t="shared" si="51"/>
        <v>1.98444315507053</v>
      </c>
      <c r="W347" s="1">
        <f t="shared" si="48"/>
        <v>2.10392825824241</v>
      </c>
    </row>
    <row r="348" spans="1:23">
      <c r="A348" s="1" t="s">
        <v>365</v>
      </c>
      <c r="B348" s="1">
        <v>14822</v>
      </c>
      <c r="C348" s="1">
        <v>14822</v>
      </c>
      <c r="D348" s="1">
        <v>715804</v>
      </c>
      <c r="E348" s="1">
        <v>13.829</v>
      </c>
      <c r="F348" s="1">
        <v>10.745</v>
      </c>
      <c r="G348" s="1">
        <v>11.309</v>
      </c>
      <c r="H348" s="1">
        <v>9.722</v>
      </c>
      <c r="I348" s="1">
        <v>8.913</v>
      </c>
      <c r="J348" s="1">
        <v>7.785</v>
      </c>
      <c r="K348" s="1">
        <v>715804</v>
      </c>
      <c r="L348" s="1">
        <v>715884</v>
      </c>
      <c r="M348" s="2">
        <f t="shared" si="44"/>
        <v>1.00011176243776</v>
      </c>
      <c r="N348" s="1">
        <v>791564</v>
      </c>
      <c r="O348" s="2">
        <f t="shared" si="45"/>
        <v>1.10583902856089</v>
      </c>
      <c r="P348" s="1">
        <v>392788</v>
      </c>
      <c r="Q348" s="2">
        <f t="shared" si="50"/>
        <v>0.548736805047192</v>
      </c>
      <c r="S348" s="1">
        <f t="shared" si="49"/>
        <v>1.28701721731038</v>
      </c>
      <c r="T348" s="1">
        <f t="shared" si="46"/>
        <v>1.22283137324255</v>
      </c>
      <c r="U348" s="1">
        <f t="shared" si="52"/>
        <v>1.42244394157581</v>
      </c>
      <c r="V348" s="1">
        <f t="shared" si="51"/>
        <v>1.55155391001907</v>
      </c>
      <c r="W348" s="1">
        <f t="shared" si="48"/>
        <v>1.77636480411047</v>
      </c>
    </row>
    <row r="349" spans="1:23">
      <c r="A349" s="1" t="s">
        <v>366</v>
      </c>
      <c r="B349" s="1">
        <v>217918</v>
      </c>
      <c r="C349" s="1">
        <v>217918</v>
      </c>
      <c r="D349" s="1">
        <v>11634424</v>
      </c>
      <c r="E349" s="1">
        <v>299.389</v>
      </c>
      <c r="F349" s="1">
        <v>254.77</v>
      </c>
      <c r="G349" s="1">
        <v>258.492</v>
      </c>
      <c r="H349" s="1">
        <v>195.221</v>
      </c>
      <c r="I349" s="1">
        <v>143.948</v>
      </c>
      <c r="J349" s="1">
        <v>143.783</v>
      </c>
      <c r="K349" s="1">
        <v>11634424</v>
      </c>
      <c r="L349" s="1">
        <v>11635576</v>
      </c>
      <c r="M349" s="2">
        <f t="shared" si="44"/>
        <v>1.00009901650481</v>
      </c>
      <c r="N349" s="1">
        <v>11668314</v>
      </c>
      <c r="O349" s="2">
        <f t="shared" si="45"/>
        <v>1.00291290742026</v>
      </c>
      <c r="P349" s="1">
        <v>6040738</v>
      </c>
      <c r="Q349" s="2">
        <f t="shared" si="50"/>
        <v>0.519212468103277</v>
      </c>
      <c r="S349" s="1">
        <f t="shared" si="49"/>
        <v>1.17513443498057</v>
      </c>
      <c r="T349" s="1">
        <f t="shared" si="46"/>
        <v>1.15821379385049</v>
      </c>
      <c r="U349" s="1">
        <f t="shared" si="52"/>
        <v>1.53359013630706</v>
      </c>
      <c r="V349" s="1">
        <f t="shared" si="51"/>
        <v>2.07984133159196</v>
      </c>
      <c r="W349" s="1">
        <f t="shared" si="48"/>
        <v>2.08222807981472</v>
      </c>
    </row>
    <row r="350" spans="1:23">
      <c r="A350" s="1" t="s">
        <v>367</v>
      </c>
      <c r="B350" s="1">
        <v>66127</v>
      </c>
      <c r="C350" s="1">
        <v>66127</v>
      </c>
      <c r="D350" s="1">
        <v>1660579</v>
      </c>
      <c r="E350" s="1">
        <v>32.706</v>
      </c>
      <c r="F350" s="1">
        <v>28.462</v>
      </c>
      <c r="G350" s="1">
        <v>28.917</v>
      </c>
      <c r="H350" s="1">
        <v>28.913</v>
      </c>
      <c r="I350" s="1">
        <v>21.306</v>
      </c>
      <c r="J350" s="1">
        <v>22.311</v>
      </c>
      <c r="K350" s="1">
        <v>1660579</v>
      </c>
      <c r="L350" s="1">
        <v>1661422</v>
      </c>
      <c r="M350" s="2">
        <f t="shared" si="44"/>
        <v>1.00050765425794</v>
      </c>
      <c r="N350" s="1">
        <v>2181364</v>
      </c>
      <c r="O350" s="2">
        <f t="shared" si="45"/>
        <v>1.31361651568519</v>
      </c>
      <c r="P350" s="1">
        <v>875984</v>
      </c>
      <c r="Q350" s="2">
        <f t="shared" si="50"/>
        <v>0.527517209358904</v>
      </c>
      <c r="S350" s="1">
        <f t="shared" si="49"/>
        <v>1.14911109549575</v>
      </c>
      <c r="T350" s="1">
        <f t="shared" si="46"/>
        <v>1.13103018985372</v>
      </c>
      <c r="U350" s="1">
        <f t="shared" si="52"/>
        <v>1.13118666343859</v>
      </c>
      <c r="V350" s="1">
        <f t="shared" si="51"/>
        <v>1.53506054632498</v>
      </c>
      <c r="W350" s="1">
        <f t="shared" si="48"/>
        <v>1.4659136748689</v>
      </c>
    </row>
    <row r="351" spans="1:23">
      <c r="A351" s="1" t="s">
        <v>368</v>
      </c>
      <c r="B351" s="1">
        <v>66127</v>
      </c>
      <c r="C351" s="1">
        <v>66127</v>
      </c>
      <c r="D351" s="1">
        <v>1660579</v>
      </c>
      <c r="E351" s="1">
        <v>32.458</v>
      </c>
      <c r="F351" s="1">
        <v>27.949</v>
      </c>
      <c r="G351" s="1">
        <v>28.74</v>
      </c>
      <c r="H351" s="1">
        <v>28.699</v>
      </c>
      <c r="I351" s="1">
        <v>21.152</v>
      </c>
      <c r="J351" s="1">
        <v>22.142</v>
      </c>
      <c r="K351" s="1">
        <v>1660579</v>
      </c>
      <c r="L351" s="1">
        <v>1661422</v>
      </c>
      <c r="M351" s="2">
        <f t="shared" si="44"/>
        <v>1.00050765425794</v>
      </c>
      <c r="N351" s="1">
        <v>2181364</v>
      </c>
      <c r="O351" s="2">
        <f t="shared" si="45"/>
        <v>1.31361651568519</v>
      </c>
      <c r="P351" s="1">
        <v>875984</v>
      </c>
      <c r="Q351" s="2">
        <f t="shared" si="50"/>
        <v>0.527517209358904</v>
      </c>
      <c r="S351" s="1">
        <f t="shared" si="49"/>
        <v>1.16132956456403</v>
      </c>
      <c r="T351" s="1">
        <f t="shared" si="46"/>
        <v>1.12936673625609</v>
      </c>
      <c r="U351" s="1">
        <f t="shared" si="52"/>
        <v>1.13098017352521</v>
      </c>
      <c r="V351" s="1">
        <f t="shared" si="51"/>
        <v>1.53451210287443</v>
      </c>
      <c r="W351" s="1">
        <f t="shared" si="48"/>
        <v>1.46590190588023</v>
      </c>
    </row>
    <row r="352" spans="1:23">
      <c r="A352" s="1" t="s">
        <v>369</v>
      </c>
      <c r="B352" s="1">
        <v>20000</v>
      </c>
      <c r="C352" s="1">
        <v>20000</v>
      </c>
      <c r="D352" s="1">
        <v>45000</v>
      </c>
      <c r="E352" s="1">
        <v>2.682</v>
      </c>
      <c r="F352" s="1">
        <v>1.346</v>
      </c>
      <c r="G352" s="1">
        <v>0.987</v>
      </c>
      <c r="H352" s="1">
        <v>2.962</v>
      </c>
      <c r="I352" s="1">
        <v>0.916</v>
      </c>
      <c r="J352" s="1">
        <v>1.688</v>
      </c>
      <c r="K352" s="1">
        <v>45000</v>
      </c>
      <c r="L352" s="1">
        <v>45000</v>
      </c>
      <c r="M352" s="2">
        <f t="shared" si="44"/>
        <v>1</v>
      </c>
      <c r="N352" s="1">
        <v>90000</v>
      </c>
      <c r="O352" s="2">
        <f t="shared" si="45"/>
        <v>2</v>
      </c>
      <c r="P352" s="1">
        <v>35000</v>
      </c>
      <c r="Q352" s="2">
        <f t="shared" si="50"/>
        <v>0.777777777777778</v>
      </c>
      <c r="S352" s="1">
        <f t="shared" si="49"/>
        <v>1.9925705794948</v>
      </c>
      <c r="T352" s="1">
        <f t="shared" si="46"/>
        <v>2.71732522796353</v>
      </c>
      <c r="U352" s="1">
        <f t="shared" si="52"/>
        <v>0.905469277515192</v>
      </c>
      <c r="V352" s="1">
        <f t="shared" si="51"/>
        <v>2.92794759825327</v>
      </c>
      <c r="W352" s="1">
        <f t="shared" si="48"/>
        <v>1.58886255924171</v>
      </c>
    </row>
    <row r="353" spans="1:23">
      <c r="A353" s="1" t="s">
        <v>370</v>
      </c>
      <c r="B353" s="1">
        <v>4147110</v>
      </c>
      <c r="C353" s="1">
        <v>4147110</v>
      </c>
      <c r="D353" s="1">
        <v>329499284</v>
      </c>
      <c r="E353" s="1">
        <v>8927.13</v>
      </c>
      <c r="F353" s="1">
        <v>7583.42</v>
      </c>
      <c r="G353" s="1">
        <v>7580.79</v>
      </c>
      <c r="H353" s="1">
        <v>6461.36</v>
      </c>
      <c r="I353" s="1">
        <v>4411.93</v>
      </c>
      <c r="J353" s="1">
        <v>4622.67</v>
      </c>
      <c r="K353" s="1">
        <v>329499284</v>
      </c>
      <c r="L353" s="1">
        <v>329610596</v>
      </c>
      <c r="M353" s="2">
        <f t="shared" si="44"/>
        <v>1.0003378216749</v>
      </c>
      <c r="N353" s="1">
        <v>371378090</v>
      </c>
      <c r="O353" s="2">
        <f t="shared" si="45"/>
        <v>1.12709832170682</v>
      </c>
      <c r="P353" s="1">
        <v>169898542</v>
      </c>
      <c r="Q353" s="2">
        <f t="shared" si="50"/>
        <v>0.515626437597965</v>
      </c>
      <c r="S353" s="1">
        <f t="shared" si="49"/>
        <v>1.17719050243821</v>
      </c>
      <c r="T353" s="1">
        <f t="shared" si="46"/>
        <v>1.17759890459965</v>
      </c>
      <c r="U353" s="1">
        <f t="shared" si="52"/>
        <v>1.381617801825</v>
      </c>
      <c r="V353" s="1">
        <f t="shared" si="51"/>
        <v>2.02340698968479</v>
      </c>
      <c r="W353" s="1">
        <f t="shared" si="48"/>
        <v>1.93116315895359</v>
      </c>
    </row>
    <row r="354" spans="1:23">
      <c r="A354" s="1" t="s">
        <v>371</v>
      </c>
      <c r="B354" s="1">
        <v>19779</v>
      </c>
      <c r="C354" s="1">
        <v>19779</v>
      </c>
      <c r="D354" s="1">
        <v>1328611</v>
      </c>
      <c r="E354" s="1">
        <v>26.388</v>
      </c>
      <c r="F354" s="1">
        <v>20.243</v>
      </c>
      <c r="G354" s="1">
        <v>21.28</v>
      </c>
      <c r="H354" s="1">
        <v>17.241</v>
      </c>
      <c r="I354" s="1">
        <v>14.003</v>
      </c>
      <c r="J354" s="1">
        <v>14.799</v>
      </c>
      <c r="K354" s="1">
        <v>1328611</v>
      </c>
      <c r="L354" s="1">
        <v>1329580</v>
      </c>
      <c r="M354" s="2">
        <f t="shared" si="44"/>
        <v>1.00072933311556</v>
      </c>
      <c r="N354" s="1">
        <v>1423956</v>
      </c>
      <c r="O354" s="2">
        <f t="shared" si="45"/>
        <v>1.07176291630884</v>
      </c>
      <c r="P354" s="1">
        <v>685954</v>
      </c>
      <c r="Q354" s="2">
        <f t="shared" si="50"/>
        <v>0.51629408457404</v>
      </c>
      <c r="S354" s="1">
        <f t="shared" si="49"/>
        <v>1.30356172504075</v>
      </c>
      <c r="T354" s="1">
        <f t="shared" si="46"/>
        <v>1.24003759398496</v>
      </c>
      <c r="U354" s="1">
        <f t="shared" si="52"/>
        <v>1.53053767182878</v>
      </c>
      <c r="V354" s="1">
        <f t="shared" si="51"/>
        <v>1.88445333142898</v>
      </c>
      <c r="W354" s="1">
        <f t="shared" si="48"/>
        <v>1.78309345226029</v>
      </c>
    </row>
    <row r="355" spans="1:23">
      <c r="A355" s="1" t="s">
        <v>372</v>
      </c>
      <c r="B355" s="1">
        <v>20209</v>
      </c>
      <c r="C355" s="1">
        <v>20209</v>
      </c>
      <c r="D355" s="1">
        <v>139233</v>
      </c>
      <c r="E355" s="1">
        <v>2.807</v>
      </c>
      <c r="F355" s="1">
        <v>3.478</v>
      </c>
      <c r="G355" s="1">
        <v>2.463</v>
      </c>
      <c r="H355" s="1">
        <v>3.469</v>
      </c>
      <c r="I355" s="1">
        <v>3.097</v>
      </c>
      <c r="J355" s="1">
        <v>2.874</v>
      </c>
      <c r="K355" s="1">
        <v>139233</v>
      </c>
      <c r="L355" s="1">
        <v>139310</v>
      </c>
      <c r="M355" s="2">
        <f t="shared" si="44"/>
        <v>1.00055302981333</v>
      </c>
      <c r="N355" s="1">
        <v>214094</v>
      </c>
      <c r="O355" s="2">
        <f t="shared" si="45"/>
        <v>1.53766707605237</v>
      </c>
      <c r="P355" s="1">
        <v>109928</v>
      </c>
      <c r="Q355" s="2">
        <f t="shared" si="50"/>
        <v>0.789525471691338</v>
      </c>
      <c r="S355" s="1">
        <f t="shared" si="49"/>
        <v>0.807073030477286</v>
      </c>
      <c r="T355" s="1">
        <f t="shared" si="46"/>
        <v>1.1396670726756</v>
      </c>
      <c r="U355" s="1">
        <f t="shared" si="52"/>
        <v>0.809166906889594</v>
      </c>
      <c r="V355" s="1">
        <f t="shared" si="51"/>
        <v>0.906360994510817</v>
      </c>
      <c r="W355" s="1">
        <f t="shared" si="48"/>
        <v>0.976687543493389</v>
      </c>
    </row>
    <row r="356" spans="1:23">
      <c r="A356" s="1" t="s">
        <v>373</v>
      </c>
      <c r="B356" s="1">
        <v>5177</v>
      </c>
      <c r="C356" s="1">
        <v>5177</v>
      </c>
      <c r="D356" s="1">
        <v>35185</v>
      </c>
      <c r="E356" s="1">
        <v>0.668</v>
      </c>
      <c r="F356" s="1">
        <v>0.819</v>
      </c>
      <c r="G356" s="1">
        <v>0.547</v>
      </c>
      <c r="H356" s="1">
        <v>0.827</v>
      </c>
      <c r="I356" s="1">
        <v>0.756</v>
      </c>
      <c r="J356" s="1">
        <v>0.66</v>
      </c>
      <c r="K356" s="1">
        <v>35185</v>
      </c>
      <c r="L356" s="1">
        <v>35208</v>
      </c>
      <c r="M356" s="2">
        <f t="shared" si="44"/>
        <v>1.00065368765099</v>
      </c>
      <c r="N356" s="1">
        <v>53972</v>
      </c>
      <c r="O356" s="2">
        <f t="shared" si="45"/>
        <v>1.53394912604803</v>
      </c>
      <c r="P356" s="1">
        <v>27838</v>
      </c>
      <c r="Q356" s="2">
        <f t="shared" si="50"/>
        <v>0.791189427312775</v>
      </c>
      <c r="S356" s="1">
        <f t="shared" si="49"/>
        <v>0.815628815628816</v>
      </c>
      <c r="T356" s="1">
        <f t="shared" si="46"/>
        <v>1.22120658135283</v>
      </c>
      <c r="U356" s="1">
        <f t="shared" si="52"/>
        <v>0.807738814993954</v>
      </c>
      <c r="V356" s="1">
        <f t="shared" si="51"/>
        <v>0.883597883597884</v>
      </c>
      <c r="W356" s="1">
        <f t="shared" si="48"/>
        <v>1.01212121212121</v>
      </c>
    </row>
    <row r="357" spans="1:23">
      <c r="A357" s="1" t="s">
        <v>374</v>
      </c>
      <c r="B357" s="1">
        <v>79841</v>
      </c>
      <c r="C357" s="1">
        <v>79841</v>
      </c>
      <c r="D357" s="1">
        <v>553921</v>
      </c>
      <c r="E357" s="1">
        <v>12.633</v>
      </c>
      <c r="F357" s="1">
        <v>15.457</v>
      </c>
      <c r="G357" s="1">
        <v>11.551</v>
      </c>
      <c r="H357" s="1">
        <v>15.037</v>
      </c>
      <c r="I357" s="1">
        <v>13.047</v>
      </c>
      <c r="J357" s="1">
        <v>12.318</v>
      </c>
      <c r="K357" s="1">
        <v>553921</v>
      </c>
      <c r="L357" s="1">
        <v>554240</v>
      </c>
      <c r="M357" s="2">
        <f t="shared" si="44"/>
        <v>1.00057589439649</v>
      </c>
      <c r="N357" s="1">
        <v>852852</v>
      </c>
      <c r="O357" s="2">
        <f t="shared" si="45"/>
        <v>1.53966359823874</v>
      </c>
      <c r="P357" s="1">
        <v>437596</v>
      </c>
      <c r="Q357" s="2">
        <f t="shared" si="50"/>
        <v>0.789997129554575</v>
      </c>
      <c r="S357" s="1">
        <f t="shared" si="49"/>
        <v>0.817299605356796</v>
      </c>
      <c r="T357" s="1">
        <f t="shared" si="46"/>
        <v>1.0936715435893</v>
      </c>
      <c r="U357" s="1">
        <f t="shared" si="52"/>
        <v>0.840127685043559</v>
      </c>
      <c r="V357" s="1">
        <f t="shared" si="51"/>
        <v>0.968268567486778</v>
      </c>
      <c r="W357" s="1">
        <f t="shared" si="48"/>
        <v>1.02557233317097</v>
      </c>
    </row>
    <row r="358" spans="1:23">
      <c r="A358" s="1" t="s">
        <v>375</v>
      </c>
      <c r="B358" s="1">
        <v>3006</v>
      </c>
      <c r="C358" s="1">
        <v>3006</v>
      </c>
      <c r="D358" s="1">
        <v>37342</v>
      </c>
      <c r="E358" s="1">
        <v>0.635</v>
      </c>
      <c r="F358" s="1">
        <v>0.602</v>
      </c>
      <c r="G358" s="1">
        <v>0.569</v>
      </c>
      <c r="H358" s="1">
        <v>0.698</v>
      </c>
      <c r="I358" s="1">
        <v>0.436</v>
      </c>
      <c r="J358" s="1">
        <v>0.579</v>
      </c>
      <c r="K358" s="1">
        <v>37342</v>
      </c>
      <c r="L358" s="1">
        <v>40194</v>
      </c>
      <c r="M358" s="2">
        <f t="shared" si="44"/>
        <v>1.07637512720261</v>
      </c>
      <c r="N358" s="1">
        <v>58104</v>
      </c>
      <c r="O358" s="2">
        <f t="shared" si="45"/>
        <v>1.55599592951636</v>
      </c>
      <c r="P358" s="1">
        <v>20994</v>
      </c>
      <c r="Q358" s="2">
        <f t="shared" si="50"/>
        <v>0.562208772963419</v>
      </c>
      <c r="S358" s="1">
        <f t="shared" si="49"/>
        <v>1.05481727574751</v>
      </c>
      <c r="T358" s="1">
        <f t="shared" si="46"/>
        <v>1.11599297012302</v>
      </c>
      <c r="U358" s="1">
        <f t="shared" si="52"/>
        <v>0.90974212034384</v>
      </c>
      <c r="V358" s="1">
        <f t="shared" si="51"/>
        <v>1.45642201834862</v>
      </c>
      <c r="W358" s="1">
        <f t="shared" si="48"/>
        <v>1.09671848013817</v>
      </c>
    </row>
    <row r="359" spans="1:23">
      <c r="A359" s="1" t="s">
        <v>376</v>
      </c>
      <c r="B359" s="1">
        <v>3057</v>
      </c>
      <c r="C359" s="1">
        <v>3057</v>
      </c>
      <c r="D359" s="1">
        <v>37150</v>
      </c>
      <c r="E359" s="1">
        <v>0.634</v>
      </c>
      <c r="F359" s="1">
        <v>0.594</v>
      </c>
      <c r="G359" s="1">
        <v>0.554</v>
      </c>
      <c r="H359" s="1">
        <v>0.698</v>
      </c>
      <c r="I359" s="1">
        <v>0.424</v>
      </c>
      <c r="J359" s="1">
        <v>0.58</v>
      </c>
      <c r="K359" s="1">
        <v>37150</v>
      </c>
      <c r="L359" s="1">
        <v>40052</v>
      </c>
      <c r="M359" s="2">
        <f t="shared" si="44"/>
        <v>1.07811574697174</v>
      </c>
      <c r="N359" s="1">
        <v>58214</v>
      </c>
      <c r="O359" s="2">
        <f t="shared" si="45"/>
        <v>1.56699865410498</v>
      </c>
      <c r="P359" s="1">
        <v>20986</v>
      </c>
      <c r="Q359" s="2">
        <f t="shared" si="50"/>
        <v>0.564899057873486</v>
      </c>
      <c r="S359" s="1">
        <f t="shared" si="49"/>
        <v>1.06734006734007</v>
      </c>
      <c r="T359" s="1">
        <f t="shared" si="46"/>
        <v>1.14440433212996</v>
      </c>
      <c r="U359" s="1">
        <f t="shared" si="52"/>
        <v>0.908309455587393</v>
      </c>
      <c r="V359" s="1">
        <f t="shared" si="51"/>
        <v>1.49528301886792</v>
      </c>
      <c r="W359" s="1">
        <f t="shared" si="48"/>
        <v>1.09310344827586</v>
      </c>
    </row>
    <row r="360" spans="1:23">
      <c r="A360" s="1" t="s">
        <v>377</v>
      </c>
      <c r="B360" s="1">
        <v>3108</v>
      </c>
      <c r="C360" s="1">
        <v>3108</v>
      </c>
      <c r="D360" s="1">
        <v>37894</v>
      </c>
      <c r="E360" s="1">
        <v>0.644</v>
      </c>
      <c r="F360" s="1">
        <v>0.608</v>
      </c>
      <c r="G360" s="1">
        <v>0.57</v>
      </c>
      <c r="H360" s="1">
        <v>0.713</v>
      </c>
      <c r="I360" s="1">
        <v>0.442</v>
      </c>
      <c r="J360" s="1">
        <v>0.589</v>
      </c>
      <c r="K360" s="1">
        <v>37894</v>
      </c>
      <c r="L360" s="1">
        <v>40832</v>
      </c>
      <c r="M360" s="2">
        <f t="shared" si="44"/>
        <v>1.07753206312345</v>
      </c>
      <c r="N360" s="1">
        <v>59328</v>
      </c>
      <c r="O360" s="2">
        <f t="shared" si="45"/>
        <v>1.56563044281417</v>
      </c>
      <c r="P360" s="1">
        <v>21366</v>
      </c>
      <c r="Q360" s="2">
        <f t="shared" si="50"/>
        <v>0.563835963477068</v>
      </c>
      <c r="S360" s="1">
        <f t="shared" si="49"/>
        <v>1.05921052631579</v>
      </c>
      <c r="T360" s="1">
        <f t="shared" si="46"/>
        <v>1.12982456140351</v>
      </c>
      <c r="U360" s="1">
        <f t="shared" si="52"/>
        <v>0.903225806451613</v>
      </c>
      <c r="V360" s="1">
        <f t="shared" si="51"/>
        <v>1.45701357466063</v>
      </c>
      <c r="W360" s="1">
        <f t="shared" si="48"/>
        <v>1.09337860780985</v>
      </c>
    </row>
    <row r="361" spans="1:23">
      <c r="A361" s="1" t="s">
        <v>378</v>
      </c>
      <c r="B361" s="1">
        <v>5489</v>
      </c>
      <c r="C361" s="1">
        <v>5489</v>
      </c>
      <c r="D361" s="1">
        <v>281111</v>
      </c>
      <c r="E361" s="1">
        <v>5.257</v>
      </c>
      <c r="F361" s="1">
        <v>4.177</v>
      </c>
      <c r="G361" s="1">
        <v>4.15</v>
      </c>
      <c r="H361" s="1">
        <v>3.418</v>
      </c>
      <c r="I361" s="1">
        <v>2.864</v>
      </c>
      <c r="J361" s="1">
        <v>3.486</v>
      </c>
      <c r="K361" s="1">
        <v>281111</v>
      </c>
      <c r="L361" s="1">
        <v>281166</v>
      </c>
      <c r="M361" s="2">
        <f t="shared" si="44"/>
        <v>1.00019565225125</v>
      </c>
      <c r="N361" s="1">
        <v>282964</v>
      </c>
      <c r="O361" s="2">
        <f t="shared" si="45"/>
        <v>1.00659170221016</v>
      </c>
      <c r="P361" s="1">
        <v>146116</v>
      </c>
      <c r="Q361" s="2">
        <f t="shared" si="50"/>
        <v>0.519780442600965</v>
      </c>
      <c r="S361" s="1">
        <f t="shared" si="49"/>
        <v>1.25855877423989</v>
      </c>
      <c r="T361" s="1">
        <f t="shared" si="46"/>
        <v>1.26674698795181</v>
      </c>
      <c r="U361" s="1">
        <f t="shared" si="52"/>
        <v>1.53803393797542</v>
      </c>
      <c r="V361" s="1">
        <f t="shared" si="51"/>
        <v>1.83554469273743</v>
      </c>
      <c r="W361" s="1">
        <f t="shared" si="48"/>
        <v>1.50803212851406</v>
      </c>
    </row>
    <row r="362" spans="1:23">
      <c r="A362" s="1" t="s">
        <v>379</v>
      </c>
      <c r="B362" s="1">
        <v>5489</v>
      </c>
      <c r="C362" s="1">
        <v>5489</v>
      </c>
      <c r="D362" s="1">
        <v>219521</v>
      </c>
      <c r="E362" s="1">
        <v>4.068</v>
      </c>
      <c r="F362" s="1">
        <v>3.311</v>
      </c>
      <c r="G362" s="1">
        <v>3.202</v>
      </c>
      <c r="H362" s="1">
        <v>2.726</v>
      </c>
      <c r="I362" s="1">
        <v>2.23</v>
      </c>
      <c r="J362" s="1">
        <v>2.681</v>
      </c>
      <c r="K362" s="1">
        <v>219521</v>
      </c>
      <c r="L362" s="1">
        <v>219570</v>
      </c>
      <c r="M362" s="2">
        <f t="shared" si="44"/>
        <v>1.00022321326889</v>
      </c>
      <c r="N362" s="1">
        <v>220852</v>
      </c>
      <c r="O362" s="2">
        <f t="shared" si="45"/>
        <v>1.00606320124271</v>
      </c>
      <c r="P362" s="1">
        <v>115262</v>
      </c>
      <c r="Q362" s="2">
        <f t="shared" si="50"/>
        <v>0.525061383648945</v>
      </c>
      <c r="S362" s="1">
        <f t="shared" si="49"/>
        <v>1.228631833283</v>
      </c>
      <c r="T362" s="1">
        <f t="shared" si="46"/>
        <v>1.27045596502186</v>
      </c>
      <c r="U362" s="1">
        <f t="shared" si="52"/>
        <v>1.49229640498899</v>
      </c>
      <c r="V362" s="1">
        <f t="shared" si="51"/>
        <v>1.82421524663677</v>
      </c>
      <c r="W362" s="1">
        <f t="shared" si="48"/>
        <v>1.51734427452443</v>
      </c>
    </row>
    <row r="363" spans="1:23">
      <c r="A363" s="1" t="s">
        <v>380</v>
      </c>
      <c r="B363" s="1">
        <v>5489</v>
      </c>
      <c r="C363" s="1">
        <v>5489</v>
      </c>
      <c r="D363" s="1">
        <v>281111</v>
      </c>
      <c r="E363" s="1">
        <v>5.259</v>
      </c>
      <c r="F363" s="1">
        <v>4.18</v>
      </c>
      <c r="G363" s="1">
        <v>4.2</v>
      </c>
      <c r="H363" s="1">
        <v>3.413</v>
      </c>
      <c r="I363" s="1">
        <v>2.867</v>
      </c>
      <c r="J363" s="1">
        <v>3.492</v>
      </c>
      <c r="K363" s="1">
        <v>281111</v>
      </c>
      <c r="L363" s="1">
        <v>281166</v>
      </c>
      <c r="M363" s="2">
        <f t="shared" si="44"/>
        <v>1.00019565225125</v>
      </c>
      <c r="N363" s="1">
        <v>282964</v>
      </c>
      <c r="O363" s="2">
        <f t="shared" si="45"/>
        <v>1.00659170221016</v>
      </c>
      <c r="P363" s="1">
        <v>146116</v>
      </c>
      <c r="Q363" s="2">
        <f t="shared" si="50"/>
        <v>0.519780442600965</v>
      </c>
      <c r="S363" s="1">
        <f t="shared" si="49"/>
        <v>1.25813397129187</v>
      </c>
      <c r="T363" s="1">
        <f t="shared" si="46"/>
        <v>1.25214285714286</v>
      </c>
      <c r="U363" s="1">
        <f t="shared" si="52"/>
        <v>1.54087313214181</v>
      </c>
      <c r="V363" s="1">
        <f t="shared" si="51"/>
        <v>1.83432159051273</v>
      </c>
      <c r="W363" s="1">
        <f t="shared" si="48"/>
        <v>1.50601374570447</v>
      </c>
    </row>
    <row r="364" spans="1:23">
      <c r="A364" s="1" t="s">
        <v>381</v>
      </c>
      <c r="B364" s="1">
        <v>5489</v>
      </c>
      <c r="C364" s="1">
        <v>5489</v>
      </c>
      <c r="D364" s="1">
        <v>219521</v>
      </c>
      <c r="E364" s="1">
        <v>4.012</v>
      </c>
      <c r="F364" s="1">
        <v>3.272</v>
      </c>
      <c r="G364" s="1">
        <v>3.218</v>
      </c>
      <c r="H364" s="1">
        <v>2.692</v>
      </c>
      <c r="I364" s="1">
        <v>2.252</v>
      </c>
      <c r="J364" s="1">
        <v>2.693</v>
      </c>
      <c r="K364" s="1">
        <v>219521</v>
      </c>
      <c r="L364" s="1">
        <v>219570</v>
      </c>
      <c r="M364" s="2">
        <f t="shared" si="44"/>
        <v>1.00022321326889</v>
      </c>
      <c r="N364" s="1">
        <v>220852</v>
      </c>
      <c r="O364" s="2">
        <f t="shared" si="45"/>
        <v>1.00606320124271</v>
      </c>
      <c r="P364" s="1">
        <v>115262</v>
      </c>
      <c r="Q364" s="2">
        <f t="shared" si="50"/>
        <v>0.525061383648945</v>
      </c>
      <c r="S364" s="1">
        <f t="shared" si="49"/>
        <v>1.22616136919315</v>
      </c>
      <c r="T364" s="1">
        <f t="shared" si="46"/>
        <v>1.24673710379117</v>
      </c>
      <c r="U364" s="1">
        <f t="shared" si="52"/>
        <v>1.49034175334324</v>
      </c>
      <c r="V364" s="1">
        <f t="shared" si="51"/>
        <v>1.78152753108348</v>
      </c>
      <c r="W364" s="1">
        <f t="shared" si="48"/>
        <v>1.48978834014111</v>
      </c>
    </row>
    <row r="365" spans="1:23">
      <c r="A365" s="1" t="s">
        <v>382</v>
      </c>
      <c r="B365" s="1">
        <v>90449</v>
      </c>
      <c r="C365" s="1">
        <v>90449</v>
      </c>
      <c r="D365" s="1">
        <v>4820891</v>
      </c>
      <c r="E365" s="1">
        <v>117.17</v>
      </c>
      <c r="F365" s="1">
        <v>98.486</v>
      </c>
      <c r="G365" s="1">
        <v>105.968</v>
      </c>
      <c r="H365" s="1">
        <v>77.519</v>
      </c>
      <c r="I365" s="1">
        <v>49.47</v>
      </c>
      <c r="J365" s="1">
        <v>61.489</v>
      </c>
      <c r="K365" s="1">
        <v>4820891</v>
      </c>
      <c r="L365" s="1">
        <v>4824916</v>
      </c>
      <c r="M365" s="2">
        <f t="shared" si="44"/>
        <v>1.00083490790395</v>
      </c>
      <c r="N365" s="1">
        <v>4826686</v>
      </c>
      <c r="O365" s="2">
        <f t="shared" si="45"/>
        <v>1.00120205995116</v>
      </c>
      <c r="P365" s="1">
        <v>2500870</v>
      </c>
      <c r="Q365" s="2">
        <f t="shared" si="50"/>
        <v>0.518756802425112</v>
      </c>
      <c r="S365" s="1">
        <f t="shared" si="49"/>
        <v>1.18971224336454</v>
      </c>
      <c r="T365" s="1">
        <f t="shared" si="46"/>
        <v>1.10571115808546</v>
      </c>
      <c r="U365" s="1">
        <f t="shared" si="52"/>
        <v>1.51150040635199</v>
      </c>
      <c r="V365" s="1">
        <f t="shared" si="51"/>
        <v>2.36850616535274</v>
      </c>
      <c r="W365" s="1">
        <f t="shared" si="48"/>
        <v>1.90554408105515</v>
      </c>
    </row>
    <row r="366" spans="1:23">
      <c r="A366" s="1" t="s">
        <v>383</v>
      </c>
      <c r="B366" s="1">
        <v>90449</v>
      </c>
      <c r="C366" s="1">
        <v>90449</v>
      </c>
      <c r="D366" s="1">
        <v>3753461</v>
      </c>
      <c r="E366" s="1">
        <v>90.57</v>
      </c>
      <c r="F366" s="1">
        <v>77.201</v>
      </c>
      <c r="G366" s="1">
        <v>84.072</v>
      </c>
      <c r="H366" s="1">
        <v>58.286</v>
      </c>
      <c r="I366" s="1">
        <v>38.418</v>
      </c>
      <c r="J366" s="1">
        <v>44.945</v>
      </c>
      <c r="K366" s="1">
        <v>3753461</v>
      </c>
      <c r="L366" s="1">
        <v>3756600</v>
      </c>
      <c r="M366" s="2">
        <f t="shared" si="44"/>
        <v>1.0008362948223</v>
      </c>
      <c r="N366" s="1">
        <v>3757186</v>
      </c>
      <c r="O366" s="2">
        <f t="shared" si="45"/>
        <v>1.00099241739824</v>
      </c>
      <c r="P366" s="1">
        <v>1967154</v>
      </c>
      <c r="Q366" s="2">
        <f t="shared" si="50"/>
        <v>0.524090699223996</v>
      </c>
      <c r="S366" s="1">
        <f t="shared" si="49"/>
        <v>1.17317133197757</v>
      </c>
      <c r="T366" s="1">
        <f t="shared" si="46"/>
        <v>1.07729089351984</v>
      </c>
      <c r="U366" s="1">
        <f t="shared" si="52"/>
        <v>1.55388944171842</v>
      </c>
      <c r="V366" s="1">
        <f t="shared" si="51"/>
        <v>2.35748867718257</v>
      </c>
      <c r="W366" s="1">
        <f t="shared" si="48"/>
        <v>2.01512960284792</v>
      </c>
    </row>
    <row r="367" spans="1:23">
      <c r="A367" s="1" t="s">
        <v>384</v>
      </c>
      <c r="B367" s="1">
        <v>5489</v>
      </c>
      <c r="C367" s="1">
        <v>5489</v>
      </c>
      <c r="D367" s="1">
        <v>281111</v>
      </c>
      <c r="E367" s="1">
        <v>5.268</v>
      </c>
      <c r="F367" s="1">
        <v>4.164</v>
      </c>
      <c r="G367" s="1">
        <v>4.146</v>
      </c>
      <c r="H367" s="1">
        <v>3.429</v>
      </c>
      <c r="I367" s="1">
        <v>2.858</v>
      </c>
      <c r="J367" s="1">
        <v>3.479</v>
      </c>
      <c r="K367" s="1">
        <v>281111</v>
      </c>
      <c r="L367" s="1">
        <v>281166</v>
      </c>
      <c r="M367" s="2">
        <f t="shared" si="44"/>
        <v>1.00019565225125</v>
      </c>
      <c r="N367" s="1">
        <v>282964</v>
      </c>
      <c r="O367" s="2">
        <f t="shared" si="45"/>
        <v>1.00659170221016</v>
      </c>
      <c r="P367" s="1">
        <v>146116</v>
      </c>
      <c r="Q367" s="2">
        <f t="shared" si="50"/>
        <v>0.519780442600965</v>
      </c>
      <c r="S367" s="1">
        <f t="shared" si="49"/>
        <v>1.26512968299712</v>
      </c>
      <c r="T367" s="1">
        <f t="shared" si="46"/>
        <v>1.27062228654124</v>
      </c>
      <c r="U367" s="1">
        <f t="shared" si="52"/>
        <v>1.53630796150481</v>
      </c>
      <c r="V367" s="1">
        <f t="shared" si="51"/>
        <v>1.84324702589223</v>
      </c>
      <c r="W367" s="1">
        <f t="shared" si="48"/>
        <v>1.51422822650187</v>
      </c>
    </row>
    <row r="368" spans="1:23">
      <c r="A368" s="1" t="s">
        <v>385</v>
      </c>
      <c r="B368" s="1">
        <v>5489</v>
      </c>
      <c r="C368" s="1">
        <v>5489</v>
      </c>
      <c r="D368" s="1">
        <v>219521</v>
      </c>
      <c r="E368" s="1">
        <v>4.022</v>
      </c>
      <c r="F368" s="1">
        <v>3.271</v>
      </c>
      <c r="G368" s="1">
        <v>3.19</v>
      </c>
      <c r="H368" s="1">
        <v>2.732</v>
      </c>
      <c r="I368" s="1">
        <v>2.213</v>
      </c>
      <c r="J368" s="1">
        <v>2.674</v>
      </c>
      <c r="K368" s="1">
        <v>219521</v>
      </c>
      <c r="L368" s="1">
        <v>219570</v>
      </c>
      <c r="M368" s="2">
        <f t="shared" si="44"/>
        <v>1.00022321326889</v>
      </c>
      <c r="N368" s="1">
        <v>220852</v>
      </c>
      <c r="O368" s="2">
        <f t="shared" si="45"/>
        <v>1.00606320124271</v>
      </c>
      <c r="P368" s="1">
        <v>115262</v>
      </c>
      <c r="Q368" s="2">
        <f t="shared" si="50"/>
        <v>0.525061383648945</v>
      </c>
      <c r="S368" s="1">
        <f t="shared" si="49"/>
        <v>1.22959339651483</v>
      </c>
      <c r="T368" s="1">
        <f t="shared" si="46"/>
        <v>1.26081504702194</v>
      </c>
      <c r="U368" s="1">
        <f t="shared" si="52"/>
        <v>1.47218155197657</v>
      </c>
      <c r="V368" s="1">
        <f t="shared" ref="V368:V386" si="53">E368/I368</f>
        <v>1.81744238590149</v>
      </c>
      <c r="W368" s="1">
        <f t="shared" si="48"/>
        <v>1.50411368735976</v>
      </c>
    </row>
    <row r="369" spans="1:23">
      <c r="A369" s="1" t="s">
        <v>386</v>
      </c>
      <c r="B369" s="1">
        <v>5357</v>
      </c>
      <c r="C369" s="1">
        <v>5357</v>
      </c>
      <c r="D369" s="1">
        <v>207695</v>
      </c>
      <c r="E369" s="1">
        <v>3.842</v>
      </c>
      <c r="F369" s="1">
        <v>2.95</v>
      </c>
      <c r="G369" s="1">
        <v>3.018</v>
      </c>
      <c r="H369" s="1">
        <v>2.348</v>
      </c>
      <c r="I369" s="1">
        <v>1.993</v>
      </c>
      <c r="J369" s="1">
        <v>2.326</v>
      </c>
      <c r="K369" s="1">
        <v>207695</v>
      </c>
      <c r="L369" s="1">
        <v>207786</v>
      </c>
      <c r="M369" s="2">
        <f t="shared" si="44"/>
        <v>1.00043814246852</v>
      </c>
      <c r="N369" s="1">
        <v>208642</v>
      </c>
      <c r="O369" s="2">
        <f t="shared" si="45"/>
        <v>1.00455957052409</v>
      </c>
      <c r="P369" s="1">
        <v>109208</v>
      </c>
      <c r="Q369" s="2">
        <f t="shared" si="50"/>
        <v>0.525809480247478</v>
      </c>
      <c r="S369" s="1">
        <f t="shared" si="49"/>
        <v>1.30237288135593</v>
      </c>
      <c r="T369" s="1">
        <f t="shared" si="46"/>
        <v>1.27302849569251</v>
      </c>
      <c r="U369" s="1">
        <f t="shared" si="52"/>
        <v>1.63628620102215</v>
      </c>
      <c r="V369" s="1">
        <f t="shared" si="53"/>
        <v>1.92774711490216</v>
      </c>
      <c r="W369" s="1">
        <f t="shared" si="48"/>
        <v>1.65176268271711</v>
      </c>
    </row>
    <row r="370" spans="1:23">
      <c r="A370" s="1" t="s">
        <v>387</v>
      </c>
      <c r="B370" s="1">
        <v>3564</v>
      </c>
      <c r="C370" s="1">
        <v>3564</v>
      </c>
      <c r="D370" s="1">
        <v>22316</v>
      </c>
      <c r="E370" s="1">
        <v>0.389</v>
      </c>
      <c r="F370" s="1">
        <v>0.451</v>
      </c>
      <c r="G370" s="1">
        <v>0.33</v>
      </c>
      <c r="H370" s="1">
        <v>0.484</v>
      </c>
      <c r="I370" s="1">
        <v>0.325</v>
      </c>
      <c r="J370" s="1">
        <v>0.383</v>
      </c>
      <c r="K370" s="1">
        <v>22316</v>
      </c>
      <c r="L370" s="1">
        <v>22322</v>
      </c>
      <c r="M370" s="2">
        <f t="shared" si="44"/>
        <v>1.00026886538806</v>
      </c>
      <c r="N370" s="1">
        <v>37656</v>
      </c>
      <c r="O370" s="2">
        <f t="shared" si="45"/>
        <v>1.68739917547948</v>
      </c>
      <c r="P370" s="1">
        <v>13406</v>
      </c>
      <c r="Q370" s="2">
        <f t="shared" si="50"/>
        <v>0.600734898727371</v>
      </c>
      <c r="S370" s="1">
        <f t="shared" si="49"/>
        <v>0.862527716186253</v>
      </c>
      <c r="T370" s="1">
        <f t="shared" si="46"/>
        <v>1.17878787878788</v>
      </c>
      <c r="U370" s="1">
        <f t="shared" si="52"/>
        <v>0.803719008264463</v>
      </c>
      <c r="V370" s="1">
        <f t="shared" si="53"/>
        <v>1.19692307692308</v>
      </c>
      <c r="W370" s="1">
        <f t="shared" si="48"/>
        <v>1.01566579634465</v>
      </c>
    </row>
    <row r="371" spans="1:23">
      <c r="A371" s="1" t="s">
        <v>388</v>
      </c>
      <c r="B371" s="1">
        <v>1391349</v>
      </c>
      <c r="C371" s="1">
        <v>1391349</v>
      </c>
      <c r="D371" s="1">
        <v>64531701</v>
      </c>
      <c r="E371" s="1">
        <v>1714.26</v>
      </c>
      <c r="F371" s="1">
        <v>1502.93</v>
      </c>
      <c r="G371" s="1">
        <v>1518.38</v>
      </c>
      <c r="H371" s="1">
        <v>1405.07</v>
      </c>
      <c r="I371" s="1">
        <v>1045.87</v>
      </c>
      <c r="J371" s="1">
        <v>925.93</v>
      </c>
      <c r="K371" s="1">
        <v>64531701</v>
      </c>
      <c r="L371" s="1">
        <v>64602426</v>
      </c>
      <c r="M371" s="2">
        <f t="shared" ref="M371:M434" si="54">L371/K371</f>
        <v>1.00109597296994</v>
      </c>
      <c r="N371" s="1">
        <v>75611766</v>
      </c>
      <c r="O371" s="2">
        <f t="shared" si="45"/>
        <v>1.17169956514861</v>
      </c>
      <c r="P371" s="1">
        <v>34789138</v>
      </c>
      <c r="Q371" s="2">
        <f t="shared" si="50"/>
        <v>0.539101518492438</v>
      </c>
      <c r="S371" s="1">
        <f t="shared" si="49"/>
        <v>1.14061200455111</v>
      </c>
      <c r="T371" s="1">
        <f t="shared" si="46"/>
        <v>1.12900591419803</v>
      </c>
      <c r="U371" s="1">
        <f t="shared" si="52"/>
        <v>1.22005309344018</v>
      </c>
      <c r="V371" s="1">
        <f t="shared" si="53"/>
        <v>1.63907560213028</v>
      </c>
      <c r="W371" s="1">
        <f t="shared" si="48"/>
        <v>1.85139265387232</v>
      </c>
    </row>
    <row r="372" spans="1:23">
      <c r="A372" s="1" t="s">
        <v>389</v>
      </c>
      <c r="B372" s="1">
        <v>81920</v>
      </c>
      <c r="C372" s="1">
        <v>81920</v>
      </c>
      <c r="D372" s="1">
        <v>327680</v>
      </c>
      <c r="E372" s="1">
        <v>7.835</v>
      </c>
      <c r="F372" s="1">
        <v>16.026</v>
      </c>
      <c r="G372" s="1">
        <v>7.298</v>
      </c>
      <c r="H372" s="1">
        <v>10.821</v>
      </c>
      <c r="I372" s="1">
        <v>8.866</v>
      </c>
      <c r="J372" s="1">
        <v>7.455</v>
      </c>
      <c r="K372" s="1">
        <v>327680</v>
      </c>
      <c r="L372" s="1">
        <v>327680</v>
      </c>
      <c r="M372" s="2">
        <f t="shared" si="54"/>
        <v>1</v>
      </c>
      <c r="N372" s="1">
        <v>477880</v>
      </c>
      <c r="O372" s="2">
        <f t="shared" si="45"/>
        <v>1.4583740234375</v>
      </c>
      <c r="P372" s="1">
        <v>273080</v>
      </c>
      <c r="Q372" s="2">
        <f t="shared" si="50"/>
        <v>0.8333740234375</v>
      </c>
      <c r="S372" s="1">
        <f t="shared" si="49"/>
        <v>0.488893048795707</v>
      </c>
      <c r="T372" s="1">
        <f t="shared" si="46"/>
        <v>1.07358180323376</v>
      </c>
      <c r="U372" s="1">
        <f t="shared" si="52"/>
        <v>0.724055078088901</v>
      </c>
      <c r="V372" s="1">
        <f t="shared" si="53"/>
        <v>0.883713061132416</v>
      </c>
      <c r="W372" s="1">
        <f t="shared" si="48"/>
        <v>1.05097250167673</v>
      </c>
    </row>
    <row r="373" spans="1:23">
      <c r="A373" s="1" t="s">
        <v>390</v>
      </c>
      <c r="B373" s="1">
        <v>81920</v>
      </c>
      <c r="C373" s="1">
        <v>81920</v>
      </c>
      <c r="D373" s="1">
        <v>327680</v>
      </c>
      <c r="E373" s="1">
        <v>7.913</v>
      </c>
      <c r="F373" s="1">
        <v>16.076</v>
      </c>
      <c r="G373" s="1">
        <v>7.23</v>
      </c>
      <c r="H373" s="1">
        <v>10.612</v>
      </c>
      <c r="I373" s="1">
        <v>9.037</v>
      </c>
      <c r="J373" s="1">
        <v>7.264</v>
      </c>
      <c r="K373" s="1">
        <v>327680</v>
      </c>
      <c r="L373" s="1">
        <v>327680</v>
      </c>
      <c r="M373" s="2">
        <f t="shared" si="54"/>
        <v>1</v>
      </c>
      <c r="N373" s="1">
        <v>477880</v>
      </c>
      <c r="O373" s="2">
        <f t="shared" si="45"/>
        <v>1.4583740234375</v>
      </c>
      <c r="P373" s="1">
        <v>273080</v>
      </c>
      <c r="Q373" s="2">
        <f t="shared" si="50"/>
        <v>0.8333740234375</v>
      </c>
      <c r="S373" s="1">
        <f t="shared" si="49"/>
        <v>0.492224433938791</v>
      </c>
      <c r="T373" s="1">
        <f t="shared" si="46"/>
        <v>1.09446749654219</v>
      </c>
      <c r="U373" s="1">
        <f t="shared" si="52"/>
        <v>0.74566528458349</v>
      </c>
      <c r="V373" s="1">
        <f t="shared" si="53"/>
        <v>0.875622441075578</v>
      </c>
      <c r="W373" s="1">
        <f t="shared" si="48"/>
        <v>1.08934471365639</v>
      </c>
    </row>
    <row r="374" spans="1:23">
      <c r="A374" s="1" t="s">
        <v>391</v>
      </c>
      <c r="B374" s="1">
        <v>34920</v>
      </c>
      <c r="C374" s="1">
        <v>34920</v>
      </c>
      <c r="D374" s="1">
        <v>4644230</v>
      </c>
      <c r="E374" s="1">
        <v>118.456</v>
      </c>
      <c r="F374" s="1">
        <v>97.793</v>
      </c>
      <c r="G374" s="1">
        <v>103.699</v>
      </c>
      <c r="H374" s="1">
        <v>73.111</v>
      </c>
      <c r="I374" s="1">
        <v>51.478</v>
      </c>
      <c r="J374" s="1">
        <v>56.373</v>
      </c>
      <c r="K374" s="1">
        <v>4644230</v>
      </c>
      <c r="L374" s="1">
        <v>4647354</v>
      </c>
      <c r="M374" s="2">
        <f t="shared" si="54"/>
        <v>1.00067266263729</v>
      </c>
      <c r="N374" s="1">
        <v>4648894</v>
      </c>
      <c r="O374" s="2">
        <f t="shared" si="45"/>
        <v>1.00100425689511</v>
      </c>
      <c r="P374" s="1">
        <v>2357388</v>
      </c>
      <c r="Q374" s="2">
        <f t="shared" si="50"/>
        <v>0.507595015750727</v>
      </c>
      <c r="S374" s="1">
        <f t="shared" si="49"/>
        <v>1.21129324184758</v>
      </c>
      <c r="T374" s="1">
        <f t="shared" si="46"/>
        <v>1.14230609745513</v>
      </c>
      <c r="U374" s="1">
        <f t="shared" si="52"/>
        <v>1.62022130732721</v>
      </c>
      <c r="V374" s="1">
        <f t="shared" si="53"/>
        <v>2.30109949881503</v>
      </c>
      <c r="W374" s="1">
        <f t="shared" si="48"/>
        <v>2.10128962446561</v>
      </c>
    </row>
    <row r="375" spans="1:23">
      <c r="A375" s="1" t="s">
        <v>392</v>
      </c>
      <c r="B375" s="1">
        <v>121728</v>
      </c>
      <c r="C375" s="1">
        <v>121728</v>
      </c>
      <c r="D375" s="1">
        <v>8086034</v>
      </c>
      <c r="E375" s="1">
        <v>206.434</v>
      </c>
      <c r="F375" s="1">
        <v>171.349</v>
      </c>
      <c r="G375" s="1">
        <v>174.852</v>
      </c>
      <c r="H375" s="1">
        <v>128.059</v>
      </c>
      <c r="I375" s="1">
        <v>100.296</v>
      </c>
      <c r="J375" s="1">
        <v>104.353</v>
      </c>
      <c r="K375" s="1">
        <v>8086034</v>
      </c>
      <c r="L375" s="1">
        <v>8090858</v>
      </c>
      <c r="M375" s="2">
        <f t="shared" si="54"/>
        <v>1.00059658418453</v>
      </c>
      <c r="N375" s="1">
        <v>8086174</v>
      </c>
      <c r="O375" s="2">
        <f t="shared" si="45"/>
        <v>1.00001731380303</v>
      </c>
      <c r="P375" s="1">
        <v>4164760</v>
      </c>
      <c r="Q375" s="2">
        <f t="shared" si="50"/>
        <v>0.515055959448105</v>
      </c>
      <c r="S375" s="1">
        <f t="shared" si="49"/>
        <v>1.20475754162557</v>
      </c>
      <c r="T375" s="1">
        <f t="shared" si="46"/>
        <v>1.18062132546382</v>
      </c>
      <c r="U375" s="1">
        <f t="shared" si="52"/>
        <v>1.61202258334049</v>
      </c>
      <c r="V375" s="1">
        <f t="shared" si="53"/>
        <v>2.05824758714206</v>
      </c>
      <c r="W375" s="1">
        <f t="shared" si="48"/>
        <v>1.97822774620758</v>
      </c>
    </row>
    <row r="376" spans="1:23">
      <c r="A376" s="1" t="s">
        <v>393</v>
      </c>
      <c r="B376" s="1">
        <v>140874</v>
      </c>
      <c r="C376" s="1">
        <v>140874</v>
      </c>
      <c r="D376" s="1">
        <v>7813404</v>
      </c>
      <c r="E376" s="1">
        <v>192.744</v>
      </c>
      <c r="F376" s="1">
        <v>157.166</v>
      </c>
      <c r="G376" s="1">
        <v>170.979</v>
      </c>
      <c r="H376" s="1">
        <v>118.593</v>
      </c>
      <c r="I376" s="1">
        <v>85.958</v>
      </c>
      <c r="J376" s="1">
        <v>94.52</v>
      </c>
      <c r="K376" s="1">
        <v>7813404</v>
      </c>
      <c r="L376" s="1">
        <v>7813404</v>
      </c>
      <c r="M376" s="2">
        <f t="shared" si="54"/>
        <v>1</v>
      </c>
      <c r="N376" s="1">
        <v>7813404</v>
      </c>
      <c r="O376" s="2">
        <f t="shared" si="45"/>
        <v>1</v>
      </c>
      <c r="P376" s="1">
        <v>4047576</v>
      </c>
      <c r="Q376" s="2">
        <f t="shared" si="50"/>
        <v>0.518029785737433</v>
      </c>
      <c r="S376" s="1">
        <f t="shared" si="49"/>
        <v>1.22637211610654</v>
      </c>
      <c r="T376" s="1">
        <f t="shared" si="46"/>
        <v>1.12729633463759</v>
      </c>
      <c r="U376" s="1">
        <f t="shared" si="52"/>
        <v>1.625256128102</v>
      </c>
      <c r="V376" s="1">
        <f t="shared" si="53"/>
        <v>2.24230438120943</v>
      </c>
      <c r="W376" s="1">
        <f t="shared" si="48"/>
        <v>2.03918747355057</v>
      </c>
    </row>
    <row r="377" spans="1:23">
      <c r="A377" s="1" t="s">
        <v>394</v>
      </c>
      <c r="B377" s="1">
        <v>179860</v>
      </c>
      <c r="C377" s="1">
        <v>179860</v>
      </c>
      <c r="D377" s="1">
        <v>10113096</v>
      </c>
      <c r="E377" s="1">
        <v>261.344</v>
      </c>
      <c r="F377" s="1">
        <v>223.234</v>
      </c>
      <c r="G377" s="1">
        <v>223.456</v>
      </c>
      <c r="H377" s="1">
        <v>159.943</v>
      </c>
      <c r="I377" s="1">
        <v>121.246</v>
      </c>
      <c r="J377" s="1">
        <v>127.849</v>
      </c>
      <c r="K377" s="1">
        <v>10113096</v>
      </c>
      <c r="L377" s="1">
        <v>10117090</v>
      </c>
      <c r="M377" s="2">
        <f t="shared" si="54"/>
        <v>1.00039493346053</v>
      </c>
      <c r="N377" s="1">
        <v>10138672</v>
      </c>
      <c r="O377" s="2">
        <f t="shared" si="45"/>
        <v>1.00252899804372</v>
      </c>
      <c r="P377" s="1">
        <v>5237538</v>
      </c>
      <c r="Q377" s="2">
        <f t="shared" si="50"/>
        <v>0.517896596650521</v>
      </c>
      <c r="S377" s="1">
        <f t="shared" si="49"/>
        <v>1.17071772221077</v>
      </c>
      <c r="T377" s="1">
        <f t="shared" si="46"/>
        <v>1.16955463267936</v>
      </c>
      <c r="U377" s="1">
        <f t="shared" si="52"/>
        <v>1.63398210612531</v>
      </c>
      <c r="V377" s="1">
        <f t="shared" si="53"/>
        <v>2.15548554179107</v>
      </c>
      <c r="W377" s="1">
        <f t="shared" si="48"/>
        <v>2.04416147173619</v>
      </c>
    </row>
    <row r="378" spans="1:23">
      <c r="A378" s="1" t="s">
        <v>395</v>
      </c>
      <c r="B378" s="1">
        <v>114919</v>
      </c>
      <c r="C378" s="1">
        <v>114919</v>
      </c>
      <c r="D378" s="1">
        <v>6653399</v>
      </c>
      <c r="E378" s="1">
        <v>169.713</v>
      </c>
      <c r="F378" s="1">
        <v>145.102</v>
      </c>
      <c r="G378" s="1">
        <v>144.683</v>
      </c>
      <c r="H378" s="1">
        <v>105.318</v>
      </c>
      <c r="I378" s="1">
        <v>77.323</v>
      </c>
      <c r="J378" s="1">
        <v>84.386</v>
      </c>
      <c r="K378" s="1">
        <v>6653399</v>
      </c>
      <c r="L378" s="1">
        <v>6656922</v>
      </c>
      <c r="M378" s="2">
        <f t="shared" si="54"/>
        <v>1.00052950379197</v>
      </c>
      <c r="N378" s="1">
        <v>6677298</v>
      </c>
      <c r="O378" s="2">
        <f t="shared" si="45"/>
        <v>1.00359199861605</v>
      </c>
      <c r="P378" s="1">
        <v>3443086</v>
      </c>
      <c r="Q378" s="2">
        <f t="shared" si="50"/>
        <v>0.517492788272581</v>
      </c>
      <c r="S378" s="1">
        <f t="shared" si="49"/>
        <v>1.16961172140977</v>
      </c>
      <c r="T378" s="1">
        <f t="shared" si="46"/>
        <v>1.17299890104573</v>
      </c>
      <c r="U378" s="1">
        <f t="shared" si="52"/>
        <v>1.61143394291574</v>
      </c>
      <c r="V378" s="1">
        <f t="shared" si="53"/>
        <v>2.1948579336032</v>
      </c>
      <c r="W378" s="1">
        <f t="shared" si="48"/>
        <v>2.0111511388145</v>
      </c>
    </row>
    <row r="379" spans="1:23">
      <c r="A379" s="1" t="s">
        <v>396</v>
      </c>
      <c r="B379" s="1">
        <v>17077</v>
      </c>
      <c r="C379" s="1">
        <v>17077</v>
      </c>
      <c r="D379" s="1">
        <v>875923</v>
      </c>
      <c r="E379" s="1">
        <v>17.174</v>
      </c>
      <c r="F379" s="1">
        <v>13.81</v>
      </c>
      <c r="G379" s="1">
        <v>14.392</v>
      </c>
      <c r="H379" s="1">
        <v>16.086</v>
      </c>
      <c r="I379" s="1">
        <v>11.835</v>
      </c>
      <c r="J379" s="1">
        <v>11.317</v>
      </c>
      <c r="K379" s="1">
        <v>875923</v>
      </c>
      <c r="L379" s="1">
        <v>879806</v>
      </c>
      <c r="M379" s="2">
        <f t="shared" si="54"/>
        <v>1.00443303806385</v>
      </c>
      <c r="N379" s="1">
        <v>1260886</v>
      </c>
      <c r="O379" s="2">
        <f t="shared" si="45"/>
        <v>1.43949411078371</v>
      </c>
      <c r="P379" s="1">
        <v>538520</v>
      </c>
      <c r="Q379" s="2">
        <f t="shared" si="50"/>
        <v>0.614802899341609</v>
      </c>
      <c r="S379" s="1">
        <f t="shared" si="49"/>
        <v>1.24359160028964</v>
      </c>
      <c r="T379" s="1">
        <f t="shared" si="46"/>
        <v>1.19330183435242</v>
      </c>
      <c r="U379" s="1">
        <f t="shared" si="52"/>
        <v>1.06763645405943</v>
      </c>
      <c r="V379" s="1">
        <f t="shared" si="53"/>
        <v>1.45111956062526</v>
      </c>
      <c r="W379" s="1">
        <f t="shared" si="48"/>
        <v>1.51753998409472</v>
      </c>
    </row>
    <row r="380" spans="1:23">
      <c r="A380" s="1" t="s">
        <v>397</v>
      </c>
      <c r="B380" s="1">
        <v>97569</v>
      </c>
      <c r="C380" s="1">
        <v>97569</v>
      </c>
      <c r="D380" s="1">
        <v>5156379</v>
      </c>
      <c r="E380" s="1">
        <v>135.324</v>
      </c>
      <c r="F380" s="1">
        <v>121.246</v>
      </c>
      <c r="G380" s="1">
        <v>117.903</v>
      </c>
      <c r="H380" s="1">
        <v>124.867</v>
      </c>
      <c r="I380" s="1">
        <v>88.849</v>
      </c>
      <c r="J380" s="1">
        <v>76</v>
      </c>
      <c r="K380" s="1">
        <v>5156379</v>
      </c>
      <c r="L380" s="1">
        <v>5178354</v>
      </c>
      <c r="M380" s="2">
        <f t="shared" si="54"/>
        <v>1.00426171156154</v>
      </c>
      <c r="N380" s="1">
        <v>7455986</v>
      </c>
      <c r="O380" s="2">
        <f t="shared" si="45"/>
        <v>1.44597323043942</v>
      </c>
      <c r="P380" s="1">
        <v>3174480</v>
      </c>
      <c r="Q380" s="2">
        <f t="shared" si="50"/>
        <v>0.615641325046122</v>
      </c>
      <c r="S380" s="1">
        <f t="shared" si="49"/>
        <v>1.11611104696237</v>
      </c>
      <c r="T380" s="1">
        <f t="shared" si="46"/>
        <v>1.14775705452787</v>
      </c>
      <c r="U380" s="1">
        <f t="shared" si="52"/>
        <v>1.0837451047915</v>
      </c>
      <c r="V380" s="1">
        <f t="shared" si="53"/>
        <v>1.52307848146856</v>
      </c>
      <c r="W380" s="1">
        <f t="shared" si="48"/>
        <v>1.78057894736842</v>
      </c>
    </row>
    <row r="381" spans="1:23">
      <c r="A381" s="1" t="s">
        <v>398</v>
      </c>
      <c r="B381" s="1">
        <v>185639</v>
      </c>
      <c r="C381" s="1">
        <v>185639</v>
      </c>
      <c r="D381" s="1">
        <v>15011265</v>
      </c>
      <c r="E381" s="1">
        <v>383.685</v>
      </c>
      <c r="F381" s="1">
        <v>325.809</v>
      </c>
      <c r="G381" s="1">
        <v>324.403</v>
      </c>
      <c r="H381" s="1">
        <v>330.447</v>
      </c>
      <c r="I381" s="1">
        <v>254.635</v>
      </c>
      <c r="J381" s="1">
        <v>206.241</v>
      </c>
      <c r="K381" s="1">
        <v>15011265</v>
      </c>
      <c r="L381" s="1">
        <v>15050666</v>
      </c>
      <c r="M381" s="2">
        <f t="shared" si="54"/>
        <v>1.00262476213697</v>
      </c>
      <c r="N381" s="1">
        <v>19754760</v>
      </c>
      <c r="O381" s="2">
        <f t="shared" si="45"/>
        <v>1.31599568723888</v>
      </c>
      <c r="P381" s="1">
        <v>8650788</v>
      </c>
      <c r="Q381" s="2">
        <f t="shared" si="50"/>
        <v>0.576286408906911</v>
      </c>
      <c r="S381" s="1">
        <f t="shared" si="49"/>
        <v>1.17763781847647</v>
      </c>
      <c r="T381" s="1">
        <f t="shared" si="46"/>
        <v>1.18274183654282</v>
      </c>
      <c r="U381" s="1">
        <f t="shared" si="52"/>
        <v>1.16110904320511</v>
      </c>
      <c r="V381" s="1">
        <f t="shared" si="53"/>
        <v>1.50680385650048</v>
      </c>
      <c r="W381" s="1">
        <f t="shared" si="48"/>
        <v>1.86037208896388</v>
      </c>
    </row>
    <row r="382" spans="1:23">
      <c r="A382" s="1" t="s">
        <v>399</v>
      </c>
      <c r="B382" s="1">
        <v>19896</v>
      </c>
      <c r="C382" s="1">
        <v>19896</v>
      </c>
      <c r="D382" s="1">
        <v>738598</v>
      </c>
      <c r="E382" s="1">
        <v>14.133</v>
      </c>
      <c r="F382" s="1">
        <v>12.015</v>
      </c>
      <c r="G382" s="1">
        <v>12.052</v>
      </c>
      <c r="H382" s="1">
        <v>14.589</v>
      </c>
      <c r="I382" s="1">
        <v>10.796</v>
      </c>
      <c r="J382" s="1">
        <v>10.443</v>
      </c>
      <c r="K382" s="1">
        <v>738598</v>
      </c>
      <c r="L382" s="1">
        <v>739576</v>
      </c>
      <c r="M382" s="2">
        <f t="shared" si="54"/>
        <v>1.00132413031175</v>
      </c>
      <c r="N382" s="1">
        <v>1177254</v>
      </c>
      <c r="O382" s="2">
        <f t="shared" si="45"/>
        <v>1.59390358490004</v>
      </c>
      <c r="P382" s="1">
        <v>489336</v>
      </c>
      <c r="Q382" s="2">
        <f t="shared" si="50"/>
        <v>0.66252007181173</v>
      </c>
      <c r="S382" s="1">
        <f t="shared" si="49"/>
        <v>1.17627965043695</v>
      </c>
      <c r="T382" s="1">
        <f t="shared" si="46"/>
        <v>1.17266843677398</v>
      </c>
      <c r="U382" s="1">
        <f t="shared" si="52"/>
        <v>0.96874357392556</v>
      </c>
      <c r="V382" s="1">
        <f t="shared" si="53"/>
        <v>1.30909596146721</v>
      </c>
      <c r="W382" s="1">
        <f t="shared" si="48"/>
        <v>1.35334673944269</v>
      </c>
    </row>
    <row r="383" spans="1:23">
      <c r="A383" s="1" t="s">
        <v>400</v>
      </c>
      <c r="B383" s="1">
        <v>240369</v>
      </c>
      <c r="C383" s="1">
        <v>240369</v>
      </c>
      <c r="D383" s="1">
        <v>10661631</v>
      </c>
      <c r="E383" s="1">
        <v>289.758</v>
      </c>
      <c r="F383" s="1">
        <v>262.631</v>
      </c>
      <c r="G383" s="1">
        <v>255.856</v>
      </c>
      <c r="H383" s="1">
        <v>310.947</v>
      </c>
      <c r="I383" s="1">
        <v>208.459</v>
      </c>
      <c r="J383" s="1">
        <v>168.104</v>
      </c>
      <c r="K383" s="1">
        <v>10661631</v>
      </c>
      <c r="L383" s="1">
        <v>10688028</v>
      </c>
      <c r="M383" s="2">
        <f t="shared" si="54"/>
        <v>1.00247588760106</v>
      </c>
      <c r="N383" s="1">
        <v>16337374</v>
      </c>
      <c r="O383" s="2">
        <f t="shared" si="45"/>
        <v>1.53235222640889</v>
      </c>
      <c r="P383" s="1">
        <v>6820240</v>
      </c>
      <c r="Q383" s="2">
        <f t="shared" si="50"/>
        <v>0.639699498134948</v>
      </c>
      <c r="S383" s="1">
        <f t="shared" si="49"/>
        <v>1.10328940604879</v>
      </c>
      <c r="T383" s="1">
        <f t="shared" si="46"/>
        <v>1.13250422112438</v>
      </c>
      <c r="U383" s="1">
        <f t="shared" si="52"/>
        <v>0.93185655433241</v>
      </c>
      <c r="V383" s="1">
        <f t="shared" si="53"/>
        <v>1.38999995202894</v>
      </c>
      <c r="W383" s="1">
        <f t="shared" si="48"/>
        <v>1.72368295816875</v>
      </c>
    </row>
    <row r="384" spans="1:23">
      <c r="A384" s="1" t="s">
        <v>401</v>
      </c>
      <c r="B384" s="1">
        <v>5041</v>
      </c>
      <c r="C384" s="1">
        <v>5041</v>
      </c>
      <c r="D384" s="1">
        <v>171903</v>
      </c>
      <c r="E384" s="1">
        <v>3.128</v>
      </c>
      <c r="F384" s="1">
        <v>2.654</v>
      </c>
      <c r="G384" s="1">
        <v>2.514</v>
      </c>
      <c r="H384" s="1">
        <v>3.23</v>
      </c>
      <c r="I384" s="1">
        <v>2.301</v>
      </c>
      <c r="J384" s="1">
        <v>2.228</v>
      </c>
      <c r="K384" s="1">
        <v>171903</v>
      </c>
      <c r="L384" s="1">
        <v>172474</v>
      </c>
      <c r="M384" s="2">
        <f t="shared" si="54"/>
        <v>1.00332164069272</v>
      </c>
      <c r="N384" s="1">
        <v>269250</v>
      </c>
      <c r="O384" s="2">
        <f t="shared" si="45"/>
        <v>1.56629029161795</v>
      </c>
      <c r="P384" s="1">
        <v>113862</v>
      </c>
      <c r="Q384" s="2">
        <f t="shared" si="50"/>
        <v>0.662361913404653</v>
      </c>
      <c r="S384" s="1">
        <f t="shared" si="49"/>
        <v>1.17859834212509</v>
      </c>
      <c r="T384" s="1">
        <f t="shared" si="46"/>
        <v>1.2442322991249</v>
      </c>
      <c r="U384" s="1">
        <f t="shared" si="52"/>
        <v>0.968421052631579</v>
      </c>
      <c r="V384" s="1">
        <f t="shared" si="53"/>
        <v>1.35940895262929</v>
      </c>
      <c r="W384" s="1">
        <f t="shared" si="48"/>
        <v>1.40394973070018</v>
      </c>
    </row>
    <row r="385" spans="1:23">
      <c r="A385" s="1" t="s">
        <v>402</v>
      </c>
      <c r="B385" s="1">
        <v>5743</v>
      </c>
      <c r="C385" s="1">
        <v>5743</v>
      </c>
      <c r="D385" s="1">
        <v>198787</v>
      </c>
      <c r="E385" s="1">
        <v>3.629</v>
      </c>
      <c r="F385" s="1">
        <v>3.048</v>
      </c>
      <c r="G385" s="1">
        <v>3.005</v>
      </c>
      <c r="H385" s="1">
        <v>3.608</v>
      </c>
      <c r="I385" s="1">
        <v>2.662</v>
      </c>
      <c r="J385" s="1">
        <v>2.572</v>
      </c>
      <c r="K385" s="1">
        <v>198787</v>
      </c>
      <c r="L385" s="1">
        <v>199332</v>
      </c>
      <c r="M385" s="2">
        <f t="shared" si="54"/>
        <v>1.00274162797366</v>
      </c>
      <c r="N385" s="1">
        <v>309684</v>
      </c>
      <c r="O385" s="2">
        <f t="shared" si="45"/>
        <v>1.5578684722844</v>
      </c>
      <c r="P385" s="1">
        <v>131242</v>
      </c>
      <c r="Q385" s="2">
        <f t="shared" si="50"/>
        <v>0.660214199117649</v>
      </c>
      <c r="S385" s="1">
        <f t="shared" si="49"/>
        <v>1.19061679790026</v>
      </c>
      <c r="T385" s="1">
        <f t="shared" si="46"/>
        <v>1.20765391014975</v>
      </c>
      <c r="U385" s="1">
        <f t="shared" si="52"/>
        <v>1.00582039911308</v>
      </c>
      <c r="V385" s="1">
        <f t="shared" si="53"/>
        <v>1.36326070623591</v>
      </c>
      <c r="W385" s="1">
        <f t="shared" si="48"/>
        <v>1.41096423017107</v>
      </c>
    </row>
    <row r="386" spans="1:23">
      <c r="A386" s="1" t="s">
        <v>403</v>
      </c>
      <c r="B386" s="1">
        <v>33401</v>
      </c>
      <c r="C386" s="1">
        <v>33401</v>
      </c>
      <c r="D386" s="1">
        <v>1317655</v>
      </c>
      <c r="E386" s="1">
        <v>26.398</v>
      </c>
      <c r="F386" s="1">
        <v>22.102</v>
      </c>
      <c r="G386" s="1">
        <v>22.219</v>
      </c>
      <c r="H386" s="1">
        <v>27.445</v>
      </c>
      <c r="I386" s="1">
        <v>18.558</v>
      </c>
      <c r="J386" s="1">
        <v>19.312</v>
      </c>
      <c r="K386" s="1">
        <v>1317655</v>
      </c>
      <c r="L386" s="1">
        <v>1323570</v>
      </c>
      <c r="M386" s="2">
        <f t="shared" si="54"/>
        <v>1.00448903544555</v>
      </c>
      <c r="N386" s="1">
        <v>2062740</v>
      </c>
      <c r="O386" s="2">
        <f t="shared" si="45"/>
        <v>1.56546288671921</v>
      </c>
      <c r="P386" s="1">
        <v>859624</v>
      </c>
      <c r="Q386" s="2">
        <f t="shared" si="50"/>
        <v>0.652389282475306</v>
      </c>
      <c r="S386" s="1">
        <f t="shared" si="49"/>
        <v>1.19437155008597</v>
      </c>
      <c r="T386" s="1">
        <f t="shared" si="46"/>
        <v>1.18808227192943</v>
      </c>
      <c r="U386" s="1">
        <f t="shared" si="52"/>
        <v>0.961850974676626</v>
      </c>
      <c r="V386" s="1">
        <f t="shared" si="53"/>
        <v>1.42245931673672</v>
      </c>
      <c r="W386" s="1">
        <f t="shared" si="48"/>
        <v>1.36692212096106</v>
      </c>
    </row>
    <row r="387" spans="1:23">
      <c r="A387" s="1" t="s">
        <v>404</v>
      </c>
      <c r="B387" s="1">
        <v>155331</v>
      </c>
      <c r="C387" s="1">
        <v>155331</v>
      </c>
      <c r="D387" s="1">
        <v>11283503</v>
      </c>
      <c r="E387" s="1">
        <v>301.668</v>
      </c>
      <c r="F387" s="1">
        <v>264.033</v>
      </c>
      <c r="G387" s="1">
        <v>258.109</v>
      </c>
      <c r="H387" s="1">
        <v>280.234</v>
      </c>
      <c r="I387" s="1">
        <v>194.729</v>
      </c>
      <c r="J387" s="1">
        <v>162.393</v>
      </c>
      <c r="K387" s="1">
        <v>11283503</v>
      </c>
      <c r="L387" s="1">
        <v>11344124</v>
      </c>
      <c r="M387" s="2">
        <f t="shared" si="54"/>
        <v>1.00537253368923</v>
      </c>
      <c r="N387" s="1">
        <v>15356602</v>
      </c>
      <c r="O387" s="2">
        <f t="shared" ref="O387:O445" si="55">N387/K387</f>
        <v>1.36097823521649</v>
      </c>
      <c r="P387" s="1">
        <v>6619774</v>
      </c>
      <c r="Q387" s="2">
        <f t="shared" si="50"/>
        <v>0.586677204765222</v>
      </c>
      <c r="S387" s="1">
        <f t="shared" si="49"/>
        <v>1.14253900080672</v>
      </c>
      <c r="T387" s="1">
        <f t="shared" ref="T387:T445" si="56">E387/G387</f>
        <v>1.16876203464428</v>
      </c>
      <c r="U387" s="1">
        <f t="shared" si="52"/>
        <v>1.07648607949071</v>
      </c>
      <c r="V387" s="1">
        <f t="shared" ref="V387:V418" si="57">E387/I387</f>
        <v>1.54916833137334</v>
      </c>
      <c r="W387" s="1">
        <f t="shared" ref="W387:W445" si="58">E387/J387</f>
        <v>1.85764164711533</v>
      </c>
    </row>
    <row r="388" spans="1:23">
      <c r="A388" s="1" t="s">
        <v>405</v>
      </c>
      <c r="B388" s="1">
        <v>10262</v>
      </c>
      <c r="C388" s="1">
        <v>10262</v>
      </c>
      <c r="D388" s="1">
        <v>61046</v>
      </c>
      <c r="E388" s="1">
        <v>1.155</v>
      </c>
      <c r="F388" s="1">
        <v>1.604</v>
      </c>
      <c r="G388" s="1">
        <v>1.006</v>
      </c>
      <c r="H388" s="1">
        <v>1.386</v>
      </c>
      <c r="I388" s="1">
        <v>1.218</v>
      </c>
      <c r="J388" s="1">
        <v>1.077</v>
      </c>
      <c r="K388" s="1">
        <v>61046</v>
      </c>
      <c r="L388" s="1">
        <v>61098</v>
      </c>
      <c r="M388" s="2">
        <f t="shared" si="54"/>
        <v>1.00085181666284</v>
      </c>
      <c r="N388" s="1">
        <v>99692</v>
      </c>
      <c r="O388" s="2">
        <f t="shared" si="55"/>
        <v>1.6330635913901</v>
      </c>
      <c r="P388" s="1">
        <v>52098</v>
      </c>
      <c r="Q388" s="2">
        <f t="shared" si="50"/>
        <v>0.853422009632081</v>
      </c>
      <c r="S388" s="1">
        <f t="shared" si="49"/>
        <v>0.720074812967581</v>
      </c>
      <c r="T388" s="1">
        <f t="shared" si="56"/>
        <v>1.14811133200795</v>
      </c>
      <c r="U388" s="1">
        <f t="shared" si="52"/>
        <v>0.833333333333333</v>
      </c>
      <c r="V388" s="1">
        <f t="shared" si="57"/>
        <v>0.948275862068966</v>
      </c>
      <c r="W388" s="1">
        <f t="shared" si="58"/>
        <v>1.07242339832869</v>
      </c>
    </row>
    <row r="389" spans="1:23">
      <c r="A389" s="1" t="s">
        <v>406</v>
      </c>
      <c r="B389" s="1">
        <v>25710</v>
      </c>
      <c r="C389" s="1">
        <v>25710</v>
      </c>
      <c r="D389" s="1">
        <v>3753184</v>
      </c>
      <c r="E389" s="1">
        <v>93.904</v>
      </c>
      <c r="F389" s="1">
        <v>78.147</v>
      </c>
      <c r="G389" s="1">
        <v>80.53</v>
      </c>
      <c r="H389" s="1">
        <v>61.223</v>
      </c>
      <c r="I389" s="1">
        <v>42.106</v>
      </c>
      <c r="J389" s="1">
        <v>41.79</v>
      </c>
      <c r="K389" s="1">
        <v>3753184</v>
      </c>
      <c r="L389" s="1">
        <v>3758228</v>
      </c>
      <c r="M389" s="2">
        <f t="shared" si="54"/>
        <v>1.00134392558425</v>
      </c>
      <c r="N389" s="1">
        <v>4196270</v>
      </c>
      <c r="O389" s="2">
        <f t="shared" si="55"/>
        <v>1.11805602922745</v>
      </c>
      <c r="P389" s="1">
        <v>1947928</v>
      </c>
      <c r="Q389" s="2">
        <f t="shared" si="50"/>
        <v>0.519006795297006</v>
      </c>
      <c r="S389" s="1">
        <f t="shared" si="49"/>
        <v>1.20163282019783</v>
      </c>
      <c r="T389" s="1">
        <f t="shared" si="56"/>
        <v>1.16607475474978</v>
      </c>
      <c r="U389" s="1">
        <f t="shared" si="52"/>
        <v>1.53380265586463</v>
      </c>
      <c r="V389" s="1">
        <f t="shared" si="57"/>
        <v>2.23018097183299</v>
      </c>
      <c r="W389" s="1">
        <f t="shared" si="58"/>
        <v>2.24704474754726</v>
      </c>
    </row>
    <row r="390" spans="1:23">
      <c r="A390" s="1" t="s">
        <v>407</v>
      </c>
      <c r="B390" s="1">
        <v>50000</v>
      </c>
      <c r="C390" s="1">
        <v>50000</v>
      </c>
      <c r="D390" s="1">
        <v>1548988</v>
      </c>
      <c r="E390" s="1">
        <v>38.244</v>
      </c>
      <c r="F390" s="1">
        <v>37.649</v>
      </c>
      <c r="G390" s="1">
        <v>37.922</v>
      </c>
      <c r="H390" s="1">
        <v>54.72</v>
      </c>
      <c r="I390" s="1">
        <v>54.256</v>
      </c>
      <c r="J390" s="1">
        <v>35.841</v>
      </c>
      <c r="K390" s="1">
        <v>1548988</v>
      </c>
      <c r="L390" s="1">
        <v>1550932</v>
      </c>
      <c r="M390" s="2">
        <f t="shared" si="54"/>
        <v>1.00125501295039</v>
      </c>
      <c r="N390" s="1">
        <v>3097188</v>
      </c>
      <c r="O390" s="2">
        <f t="shared" si="55"/>
        <v>1.99949128075879</v>
      </c>
      <c r="P390" s="1">
        <v>1548092</v>
      </c>
      <c r="Q390" s="2">
        <f t="shared" si="50"/>
        <v>0.999421557817104</v>
      </c>
      <c r="S390" s="1">
        <f t="shared" si="49"/>
        <v>1.01580387261282</v>
      </c>
      <c r="T390" s="1">
        <f t="shared" si="56"/>
        <v>1.0084911133379</v>
      </c>
      <c r="U390" s="1">
        <f t="shared" si="52"/>
        <v>0.69890350877193</v>
      </c>
      <c r="V390" s="1">
        <f t="shared" si="57"/>
        <v>0.704880566204659</v>
      </c>
      <c r="W390" s="1">
        <f t="shared" si="58"/>
        <v>1.06704612036495</v>
      </c>
    </row>
    <row r="391" spans="1:23">
      <c r="A391" s="1" t="s">
        <v>408</v>
      </c>
      <c r="B391" s="1">
        <v>29995</v>
      </c>
      <c r="C391" s="1">
        <v>29995</v>
      </c>
      <c r="D391" s="1">
        <v>229947</v>
      </c>
      <c r="E391" s="1">
        <v>4.116</v>
      </c>
      <c r="F391" s="1">
        <v>4.416</v>
      </c>
      <c r="G391" s="1">
        <v>4.256</v>
      </c>
      <c r="H391" s="1">
        <v>3.605</v>
      </c>
      <c r="I391" s="1">
        <v>3.929</v>
      </c>
      <c r="J391" s="1">
        <v>3.932</v>
      </c>
      <c r="K391" s="1">
        <v>229947</v>
      </c>
      <c r="L391" s="1">
        <v>229986</v>
      </c>
      <c r="M391" s="2">
        <f t="shared" si="54"/>
        <v>1.00016960430012</v>
      </c>
      <c r="N391" s="1">
        <v>239944</v>
      </c>
      <c r="O391" s="2">
        <f t="shared" si="55"/>
        <v>1.04347523559777</v>
      </c>
      <c r="P391" s="1">
        <v>139968</v>
      </c>
      <c r="Q391" s="2">
        <f t="shared" si="50"/>
        <v>0.608696786650837</v>
      </c>
      <c r="S391" s="1">
        <f t="shared" si="49"/>
        <v>0.932065217391304</v>
      </c>
      <c r="T391" s="1">
        <f t="shared" si="56"/>
        <v>0.967105263157895</v>
      </c>
      <c r="U391" s="1">
        <f t="shared" si="52"/>
        <v>1.14174757281553</v>
      </c>
      <c r="V391" s="1">
        <f t="shared" si="57"/>
        <v>1.04759480783914</v>
      </c>
      <c r="W391" s="1">
        <f t="shared" si="58"/>
        <v>1.04679552390641</v>
      </c>
    </row>
    <row r="392" spans="1:23">
      <c r="A392" s="1" t="s">
        <v>409</v>
      </c>
      <c r="B392" s="1">
        <v>1465137</v>
      </c>
      <c r="C392" s="1">
        <v>1465137</v>
      </c>
      <c r="D392" s="1">
        <v>21005389</v>
      </c>
      <c r="E392" s="1">
        <v>571.495</v>
      </c>
      <c r="F392" s="1">
        <v>570.471</v>
      </c>
      <c r="G392" s="1">
        <v>551.652</v>
      </c>
      <c r="H392" s="1">
        <v>660.38</v>
      </c>
      <c r="I392" s="1">
        <v>642.62</v>
      </c>
      <c r="J392" s="1">
        <v>435.138</v>
      </c>
      <c r="K392" s="1">
        <v>21005389</v>
      </c>
      <c r="L392" s="1">
        <v>21031710</v>
      </c>
      <c r="M392" s="2">
        <f t="shared" si="54"/>
        <v>1.00125305939347</v>
      </c>
      <c r="N392" s="1">
        <v>29970232</v>
      </c>
      <c r="O392" s="2">
        <f t="shared" si="55"/>
        <v>1.42678776384479</v>
      </c>
      <c r="P392" s="1">
        <v>14600928</v>
      </c>
      <c r="Q392" s="2">
        <f t="shared" si="50"/>
        <v>0.69510390881121</v>
      </c>
      <c r="S392" s="1">
        <f t="shared" si="49"/>
        <v>1.00179500798463</v>
      </c>
      <c r="T392" s="1">
        <f t="shared" si="56"/>
        <v>1.03597014059588</v>
      </c>
      <c r="U392" s="1">
        <f t="shared" si="52"/>
        <v>0.865403252672704</v>
      </c>
      <c r="V392" s="1">
        <f t="shared" si="57"/>
        <v>0.889320282593134</v>
      </c>
      <c r="W392" s="1">
        <f t="shared" si="58"/>
        <v>1.31336495548539</v>
      </c>
    </row>
    <row r="393" spans="1:23">
      <c r="A393" s="1" t="s">
        <v>410</v>
      </c>
      <c r="B393" s="1">
        <v>49666</v>
      </c>
      <c r="C393" s="1">
        <v>49666</v>
      </c>
      <c r="D393" s="1">
        <v>558594</v>
      </c>
      <c r="E393" s="1">
        <v>10.717</v>
      </c>
      <c r="F393" s="1">
        <v>10.889</v>
      </c>
      <c r="G393" s="1">
        <v>10.442</v>
      </c>
      <c r="H393" s="1">
        <v>10.765</v>
      </c>
      <c r="I393" s="1">
        <v>8.571</v>
      </c>
      <c r="J393" s="1">
        <v>9.532</v>
      </c>
      <c r="K393" s="1">
        <v>558594</v>
      </c>
      <c r="L393" s="1">
        <v>558600</v>
      </c>
      <c r="M393" s="2">
        <f t="shared" si="54"/>
        <v>1.00001074125393</v>
      </c>
      <c r="N393" s="1">
        <v>657408</v>
      </c>
      <c r="O393" s="2">
        <f t="shared" si="55"/>
        <v>1.17689771103879</v>
      </c>
      <c r="P393" s="1">
        <v>313352</v>
      </c>
      <c r="Q393" s="2">
        <f t="shared" si="50"/>
        <v>0.560965567120306</v>
      </c>
      <c r="S393" s="1">
        <f t="shared" ref="S393:S445" si="59">E393/F393</f>
        <v>0.984204242813849</v>
      </c>
      <c r="T393" s="1">
        <f t="shared" si="56"/>
        <v>1.02633595096725</v>
      </c>
      <c r="U393" s="1">
        <f t="shared" si="52"/>
        <v>0.995541105434278</v>
      </c>
      <c r="V393" s="1">
        <f t="shared" si="57"/>
        <v>1.25037918562595</v>
      </c>
      <c r="W393" s="1">
        <f t="shared" si="58"/>
        <v>1.12431808644566</v>
      </c>
    </row>
    <row r="394" spans="1:23">
      <c r="A394" s="1" t="s">
        <v>411</v>
      </c>
      <c r="B394" s="1">
        <v>12546</v>
      </c>
      <c r="C394" s="1">
        <v>12546</v>
      </c>
      <c r="D394" s="1">
        <v>140034</v>
      </c>
      <c r="E394" s="1">
        <v>2.431</v>
      </c>
      <c r="F394" s="1">
        <v>2.387</v>
      </c>
      <c r="G394" s="1">
        <v>2.209</v>
      </c>
      <c r="H394" s="1">
        <v>2.296</v>
      </c>
      <c r="I394" s="1">
        <v>1.827</v>
      </c>
      <c r="J394" s="1">
        <v>2.296</v>
      </c>
      <c r="K394" s="1">
        <v>140034</v>
      </c>
      <c r="L394" s="1">
        <v>140034</v>
      </c>
      <c r="M394" s="2">
        <f t="shared" si="54"/>
        <v>1</v>
      </c>
      <c r="N394" s="1">
        <v>164864</v>
      </c>
      <c r="O394" s="2">
        <f t="shared" si="55"/>
        <v>1.17731408086608</v>
      </c>
      <c r="P394" s="1">
        <v>78856</v>
      </c>
      <c r="Q394" s="2">
        <f t="shared" si="50"/>
        <v>0.563120385049345</v>
      </c>
      <c r="S394" s="1">
        <f t="shared" si="59"/>
        <v>1.0184331797235</v>
      </c>
      <c r="T394" s="1">
        <f t="shared" si="56"/>
        <v>1.10049796287913</v>
      </c>
      <c r="U394" s="1">
        <f t="shared" si="52"/>
        <v>1.05879790940767</v>
      </c>
      <c r="V394" s="1">
        <f t="shared" si="57"/>
        <v>1.33059660645868</v>
      </c>
      <c r="W394" s="1">
        <f t="shared" si="58"/>
        <v>1.05879790940767</v>
      </c>
    </row>
    <row r="395" spans="1:23">
      <c r="A395" s="1" t="s">
        <v>412</v>
      </c>
      <c r="B395" s="1">
        <v>12546</v>
      </c>
      <c r="C395" s="1">
        <v>12546</v>
      </c>
      <c r="D395" s="1">
        <v>140034</v>
      </c>
      <c r="E395" s="1">
        <v>2.416</v>
      </c>
      <c r="F395" s="1">
        <v>2.406</v>
      </c>
      <c r="G395" s="1">
        <v>2.201</v>
      </c>
      <c r="H395" s="1">
        <v>2.281</v>
      </c>
      <c r="I395" s="1">
        <v>1.818</v>
      </c>
      <c r="J395" s="1">
        <v>2.299</v>
      </c>
      <c r="K395" s="1">
        <v>140034</v>
      </c>
      <c r="L395" s="1">
        <v>140034</v>
      </c>
      <c r="M395" s="2">
        <f t="shared" si="54"/>
        <v>1</v>
      </c>
      <c r="N395" s="1">
        <v>164864</v>
      </c>
      <c r="O395" s="2">
        <f t="shared" si="55"/>
        <v>1.17731408086608</v>
      </c>
      <c r="P395" s="1">
        <v>78856</v>
      </c>
      <c r="Q395" s="2">
        <f t="shared" si="50"/>
        <v>0.563120385049345</v>
      </c>
      <c r="S395" s="1">
        <f t="shared" si="59"/>
        <v>1.00415627597672</v>
      </c>
      <c r="T395" s="1">
        <f t="shared" si="56"/>
        <v>1.09768287142208</v>
      </c>
      <c r="U395" s="1">
        <f t="shared" si="52"/>
        <v>1.05918456817185</v>
      </c>
      <c r="V395" s="1">
        <f t="shared" si="57"/>
        <v>1.32893289328933</v>
      </c>
      <c r="W395" s="1">
        <f t="shared" si="58"/>
        <v>1.05089169204002</v>
      </c>
    </row>
    <row r="396" spans="1:23">
      <c r="A396" s="1" t="s">
        <v>413</v>
      </c>
      <c r="B396" s="1">
        <v>4098</v>
      </c>
      <c r="C396" s="1">
        <v>4098</v>
      </c>
      <c r="D396" s="1">
        <v>72356</v>
      </c>
      <c r="E396" s="1">
        <v>1.287</v>
      </c>
      <c r="F396" s="1">
        <v>1.157</v>
      </c>
      <c r="G396" s="1">
        <v>1.053</v>
      </c>
      <c r="H396" s="1">
        <v>1.405</v>
      </c>
      <c r="I396" s="1">
        <v>1.1</v>
      </c>
      <c r="J396" s="1">
        <v>1.108</v>
      </c>
      <c r="K396" s="1">
        <v>72356</v>
      </c>
      <c r="L396" s="1">
        <v>73472</v>
      </c>
      <c r="M396" s="2">
        <f t="shared" si="54"/>
        <v>1.01542373818343</v>
      </c>
      <c r="N396" s="1">
        <v>113838</v>
      </c>
      <c r="O396" s="2">
        <f t="shared" si="55"/>
        <v>1.57330421803306</v>
      </c>
      <c r="P396" s="1">
        <v>46396</v>
      </c>
      <c r="Q396" s="2">
        <f t="shared" si="50"/>
        <v>0.641218420034275</v>
      </c>
      <c r="S396" s="1">
        <f t="shared" si="59"/>
        <v>1.1123595505618</v>
      </c>
      <c r="T396" s="1">
        <f t="shared" si="56"/>
        <v>1.22222222222222</v>
      </c>
      <c r="U396" s="1">
        <f t="shared" si="52"/>
        <v>0.916014234875445</v>
      </c>
      <c r="V396" s="1">
        <f t="shared" si="57"/>
        <v>1.17</v>
      </c>
      <c r="W396" s="1">
        <f t="shared" si="58"/>
        <v>1.1615523465704</v>
      </c>
    </row>
    <row r="397" spans="1:23">
      <c r="A397" s="1" t="s">
        <v>414</v>
      </c>
      <c r="B397" s="1">
        <v>11445</v>
      </c>
      <c r="C397" s="1">
        <v>11445</v>
      </c>
      <c r="D397" s="1">
        <v>176117</v>
      </c>
      <c r="E397" s="1">
        <v>3.178</v>
      </c>
      <c r="F397" s="1">
        <v>2.956</v>
      </c>
      <c r="G397" s="1">
        <v>2.785</v>
      </c>
      <c r="H397" s="1">
        <v>3.046</v>
      </c>
      <c r="I397" s="1">
        <v>2.554</v>
      </c>
      <c r="J397" s="1">
        <v>2.667</v>
      </c>
      <c r="K397" s="1">
        <v>176117</v>
      </c>
      <c r="L397" s="1">
        <v>176174</v>
      </c>
      <c r="M397" s="2">
        <f t="shared" si="54"/>
        <v>1.00032364848368</v>
      </c>
      <c r="N397" s="1">
        <v>223378</v>
      </c>
      <c r="O397" s="2">
        <f t="shared" si="55"/>
        <v>1.26835001731803</v>
      </c>
      <c r="P397" s="1">
        <v>107716</v>
      </c>
      <c r="Q397" s="2">
        <f t="shared" si="50"/>
        <v>0.61161614154227</v>
      </c>
      <c r="S397" s="1">
        <f t="shared" si="59"/>
        <v>1.07510148849797</v>
      </c>
      <c r="T397" s="1">
        <f t="shared" si="56"/>
        <v>1.1411131059246</v>
      </c>
      <c r="U397" s="1">
        <f t="shared" si="52"/>
        <v>1.04333552199606</v>
      </c>
      <c r="V397" s="1">
        <f t="shared" si="57"/>
        <v>1.2443226311668</v>
      </c>
      <c r="W397" s="1">
        <f t="shared" si="58"/>
        <v>1.19160104986877</v>
      </c>
    </row>
    <row r="398" spans="1:23">
      <c r="A398" s="1" t="s">
        <v>415</v>
      </c>
      <c r="B398" s="1">
        <v>11445</v>
      </c>
      <c r="C398" s="1">
        <v>11445</v>
      </c>
      <c r="D398" s="1">
        <v>176117</v>
      </c>
      <c r="E398" s="1">
        <v>3.192</v>
      </c>
      <c r="F398" s="1">
        <v>2.976</v>
      </c>
      <c r="G398" s="1">
        <v>2.788</v>
      </c>
      <c r="H398" s="1">
        <v>2.988</v>
      </c>
      <c r="I398" s="1">
        <v>2.561</v>
      </c>
      <c r="J398" s="1">
        <v>2.748</v>
      </c>
      <c r="K398" s="1">
        <v>176117</v>
      </c>
      <c r="L398" s="1">
        <v>176174</v>
      </c>
      <c r="M398" s="2">
        <f t="shared" si="54"/>
        <v>1.00032364848368</v>
      </c>
      <c r="N398" s="1">
        <v>223378</v>
      </c>
      <c r="O398" s="2">
        <f t="shared" si="55"/>
        <v>1.26835001731803</v>
      </c>
      <c r="P398" s="1">
        <v>107716</v>
      </c>
      <c r="Q398" s="2">
        <f t="shared" si="50"/>
        <v>0.61161614154227</v>
      </c>
      <c r="S398" s="1">
        <f t="shared" si="59"/>
        <v>1.07258064516129</v>
      </c>
      <c r="T398" s="1">
        <f t="shared" si="56"/>
        <v>1.14490674318508</v>
      </c>
      <c r="U398" s="1">
        <f t="shared" si="52"/>
        <v>1.06827309236948</v>
      </c>
      <c r="V398" s="1">
        <f t="shared" si="57"/>
        <v>1.24638812963686</v>
      </c>
      <c r="W398" s="1">
        <f t="shared" si="58"/>
        <v>1.16157205240175</v>
      </c>
    </row>
    <row r="399" spans="1:23">
      <c r="A399" s="1" t="s">
        <v>416</v>
      </c>
      <c r="B399" s="1">
        <v>11445</v>
      </c>
      <c r="C399" s="1">
        <v>11445</v>
      </c>
      <c r="D399" s="1">
        <v>176117</v>
      </c>
      <c r="E399" s="1">
        <v>3.195</v>
      </c>
      <c r="F399" s="1">
        <v>2.969</v>
      </c>
      <c r="G399" s="1">
        <v>2.775</v>
      </c>
      <c r="H399" s="1">
        <v>3.033</v>
      </c>
      <c r="I399" s="1">
        <v>2.572</v>
      </c>
      <c r="J399" s="1">
        <v>2.701</v>
      </c>
      <c r="K399" s="1">
        <v>176117</v>
      </c>
      <c r="L399" s="1">
        <v>176174</v>
      </c>
      <c r="M399" s="2">
        <f t="shared" si="54"/>
        <v>1.00032364848368</v>
      </c>
      <c r="N399" s="1">
        <v>223378</v>
      </c>
      <c r="O399" s="2">
        <f t="shared" si="55"/>
        <v>1.26835001731803</v>
      </c>
      <c r="P399" s="1">
        <v>107716</v>
      </c>
      <c r="Q399" s="2">
        <f t="shared" ref="Q399:Q445" si="60">P399/K399</f>
        <v>0.61161614154227</v>
      </c>
      <c r="S399" s="1">
        <f t="shared" si="59"/>
        <v>1.07611990569215</v>
      </c>
      <c r="T399" s="1">
        <f t="shared" si="56"/>
        <v>1.15135135135135</v>
      </c>
      <c r="U399" s="1">
        <f t="shared" si="52"/>
        <v>1.05341246290801</v>
      </c>
      <c r="V399" s="1">
        <f t="shared" si="57"/>
        <v>1.24222395023328</v>
      </c>
      <c r="W399" s="1">
        <f t="shared" si="58"/>
        <v>1.18289522399111</v>
      </c>
    </row>
    <row r="400" spans="1:23">
      <c r="A400" s="1" t="s">
        <v>417</v>
      </c>
      <c r="B400" s="1">
        <v>4257</v>
      </c>
      <c r="C400" s="1">
        <v>4257</v>
      </c>
      <c r="D400" s="1">
        <v>37465</v>
      </c>
      <c r="E400" s="1">
        <v>0.623</v>
      </c>
      <c r="F400" s="1">
        <v>0.624</v>
      </c>
      <c r="G400" s="1">
        <v>0.539</v>
      </c>
      <c r="H400" s="1">
        <v>0.626</v>
      </c>
      <c r="I400" s="1">
        <v>0.527</v>
      </c>
      <c r="J400" s="1">
        <v>0.57</v>
      </c>
      <c r="K400" s="1">
        <v>37465</v>
      </c>
      <c r="L400" s="1">
        <v>37472</v>
      </c>
      <c r="M400" s="2">
        <f t="shared" si="54"/>
        <v>1.00018684105165</v>
      </c>
      <c r="N400" s="1">
        <v>49686</v>
      </c>
      <c r="O400" s="2">
        <f t="shared" si="55"/>
        <v>1.32619778459896</v>
      </c>
      <c r="P400" s="1">
        <v>22148</v>
      </c>
      <c r="Q400" s="2">
        <f t="shared" si="60"/>
        <v>0.591165087414921</v>
      </c>
      <c r="S400" s="1">
        <f t="shared" si="59"/>
        <v>0.998397435897436</v>
      </c>
      <c r="T400" s="1">
        <f t="shared" si="56"/>
        <v>1.15584415584416</v>
      </c>
      <c r="U400" s="1">
        <f t="shared" si="52"/>
        <v>0.995207667731629</v>
      </c>
      <c r="V400" s="1">
        <f t="shared" si="57"/>
        <v>1.18216318785579</v>
      </c>
      <c r="W400" s="1">
        <f t="shared" si="58"/>
        <v>1.09298245614035</v>
      </c>
    </row>
    <row r="401" spans="1:23">
      <c r="A401" s="1" t="s">
        <v>418</v>
      </c>
      <c r="B401" s="1">
        <v>4257</v>
      </c>
      <c r="C401" s="1">
        <v>4257</v>
      </c>
      <c r="D401" s="1">
        <v>37465</v>
      </c>
      <c r="E401" s="1">
        <v>0.625</v>
      </c>
      <c r="F401" s="1">
        <v>0.627</v>
      </c>
      <c r="G401" s="1">
        <v>0.549</v>
      </c>
      <c r="H401" s="1">
        <v>0.618</v>
      </c>
      <c r="I401" s="1">
        <v>0.532</v>
      </c>
      <c r="J401" s="1">
        <v>0.577</v>
      </c>
      <c r="K401" s="1">
        <v>37465</v>
      </c>
      <c r="L401" s="1">
        <v>37472</v>
      </c>
      <c r="M401" s="2">
        <f t="shared" si="54"/>
        <v>1.00018684105165</v>
      </c>
      <c r="N401" s="1">
        <v>49686</v>
      </c>
      <c r="O401" s="2">
        <f t="shared" si="55"/>
        <v>1.32619778459896</v>
      </c>
      <c r="P401" s="1">
        <v>22148</v>
      </c>
      <c r="Q401" s="2">
        <f t="shared" si="60"/>
        <v>0.591165087414921</v>
      </c>
      <c r="S401" s="1">
        <f t="shared" si="59"/>
        <v>0.996810207336523</v>
      </c>
      <c r="T401" s="1">
        <f t="shared" si="56"/>
        <v>1.1384335154827</v>
      </c>
      <c r="U401" s="1">
        <f t="shared" si="52"/>
        <v>1.01132686084142</v>
      </c>
      <c r="V401" s="1">
        <f t="shared" si="57"/>
        <v>1.17481203007519</v>
      </c>
      <c r="W401" s="1">
        <f t="shared" si="58"/>
        <v>1.08318890814558</v>
      </c>
    </row>
    <row r="402" spans="1:23">
      <c r="A402" s="1" t="s">
        <v>419</v>
      </c>
      <c r="B402" s="1">
        <v>4257</v>
      </c>
      <c r="C402" s="1">
        <v>4257</v>
      </c>
      <c r="D402" s="1">
        <v>37465</v>
      </c>
      <c r="E402" s="1">
        <v>0.631</v>
      </c>
      <c r="F402" s="1">
        <v>0.622</v>
      </c>
      <c r="G402" s="1">
        <v>0.539</v>
      </c>
      <c r="H402" s="1">
        <v>0.616</v>
      </c>
      <c r="I402" s="1">
        <v>0.526</v>
      </c>
      <c r="J402" s="1">
        <v>0.572</v>
      </c>
      <c r="K402" s="1">
        <v>37465</v>
      </c>
      <c r="L402" s="1">
        <v>37472</v>
      </c>
      <c r="M402" s="2">
        <f t="shared" si="54"/>
        <v>1.00018684105165</v>
      </c>
      <c r="N402" s="1">
        <v>49686</v>
      </c>
      <c r="O402" s="2">
        <f t="shared" si="55"/>
        <v>1.32619778459896</v>
      </c>
      <c r="P402" s="1">
        <v>22148</v>
      </c>
      <c r="Q402" s="2">
        <f t="shared" si="60"/>
        <v>0.591165087414921</v>
      </c>
      <c r="S402" s="1">
        <f t="shared" si="59"/>
        <v>1.01446945337621</v>
      </c>
      <c r="T402" s="1">
        <f t="shared" si="56"/>
        <v>1.17068645640074</v>
      </c>
      <c r="U402" s="1">
        <f t="shared" si="52"/>
        <v>1.02435064935065</v>
      </c>
      <c r="V402" s="1">
        <f t="shared" si="57"/>
        <v>1.19961977186312</v>
      </c>
      <c r="W402" s="1">
        <f t="shared" si="58"/>
        <v>1.10314685314685</v>
      </c>
    </row>
    <row r="403" spans="1:23">
      <c r="A403" s="1" t="s">
        <v>420</v>
      </c>
      <c r="B403" s="1">
        <v>4257</v>
      </c>
      <c r="C403" s="1">
        <v>4257</v>
      </c>
      <c r="D403" s="1">
        <v>4257</v>
      </c>
      <c r="E403" s="1">
        <v>0.123</v>
      </c>
      <c r="F403" s="1">
        <v>0.123</v>
      </c>
      <c r="G403" s="1">
        <v>0.124</v>
      </c>
      <c r="H403" s="1">
        <v>0.181</v>
      </c>
      <c r="I403" s="1">
        <v>0.112</v>
      </c>
      <c r="J403" s="1">
        <v>0.144</v>
      </c>
      <c r="K403" s="1">
        <v>4257</v>
      </c>
      <c r="L403" s="1">
        <v>4256</v>
      </c>
      <c r="M403" s="2">
        <f t="shared" si="54"/>
        <v>0.999765092788349</v>
      </c>
      <c r="N403" s="1">
        <v>8514</v>
      </c>
      <c r="O403" s="2">
        <f t="shared" si="55"/>
        <v>2</v>
      </c>
      <c r="P403" s="1">
        <v>4256</v>
      </c>
      <c r="Q403" s="2">
        <f t="shared" si="60"/>
        <v>0.999765092788349</v>
      </c>
      <c r="S403" s="1">
        <f t="shared" si="59"/>
        <v>1</v>
      </c>
      <c r="T403" s="1">
        <f t="shared" si="56"/>
        <v>0.991935483870968</v>
      </c>
      <c r="U403" s="1">
        <f t="shared" ref="U403:U445" si="61">E403/H403</f>
        <v>0.679558011049724</v>
      </c>
      <c r="V403" s="1">
        <f t="shared" si="57"/>
        <v>1.09821428571429</v>
      </c>
      <c r="W403" s="1">
        <f t="shared" si="58"/>
        <v>0.854166666666667</v>
      </c>
    </row>
    <row r="404" spans="1:23">
      <c r="A404" s="1" t="s">
        <v>421</v>
      </c>
      <c r="B404" s="1">
        <v>79171</v>
      </c>
      <c r="C404" s="1">
        <v>79171</v>
      </c>
      <c r="D404" s="1">
        <v>4352105</v>
      </c>
      <c r="E404" s="1">
        <v>109.822</v>
      </c>
      <c r="F404" s="1">
        <v>95.763</v>
      </c>
      <c r="G404" s="1">
        <v>95.577</v>
      </c>
      <c r="H404" s="1">
        <v>95.386</v>
      </c>
      <c r="I404" s="1">
        <v>62.576</v>
      </c>
      <c r="J404" s="1">
        <v>53.818</v>
      </c>
      <c r="K404" s="1">
        <v>4352105</v>
      </c>
      <c r="L404" s="1">
        <v>4355132</v>
      </c>
      <c r="M404" s="2">
        <f t="shared" si="54"/>
        <v>1.00069552549858</v>
      </c>
      <c r="N404" s="1">
        <v>5906578</v>
      </c>
      <c r="O404" s="2">
        <f t="shared" si="55"/>
        <v>1.35717727398581</v>
      </c>
      <c r="P404" s="1">
        <v>2645094</v>
      </c>
      <c r="Q404" s="2">
        <f t="shared" si="60"/>
        <v>0.607773479729924</v>
      </c>
      <c r="S404" s="1">
        <f t="shared" si="59"/>
        <v>1.14681035472991</v>
      </c>
      <c r="T404" s="1">
        <f t="shared" si="56"/>
        <v>1.1490421335677</v>
      </c>
      <c r="U404" s="1">
        <f t="shared" si="61"/>
        <v>1.15134296437632</v>
      </c>
      <c r="V404" s="1">
        <f t="shared" si="57"/>
        <v>1.75501789823575</v>
      </c>
      <c r="W404" s="1">
        <f t="shared" si="58"/>
        <v>2.0406183804675</v>
      </c>
    </row>
    <row r="405" spans="1:23">
      <c r="A405" s="1" t="s">
        <v>422</v>
      </c>
      <c r="B405" s="1">
        <v>79171</v>
      </c>
      <c r="C405" s="1">
        <v>79171</v>
      </c>
      <c r="D405" s="1">
        <v>4352105</v>
      </c>
      <c r="E405" s="1">
        <v>109.685</v>
      </c>
      <c r="F405" s="1">
        <v>91.239</v>
      </c>
      <c r="G405" s="1">
        <v>95.152</v>
      </c>
      <c r="H405" s="1">
        <v>94.849</v>
      </c>
      <c r="I405" s="1">
        <v>62.774</v>
      </c>
      <c r="J405" s="1">
        <v>54.422</v>
      </c>
      <c r="K405" s="1">
        <v>4352105</v>
      </c>
      <c r="L405" s="1">
        <v>4355132</v>
      </c>
      <c r="M405" s="2">
        <f t="shared" si="54"/>
        <v>1.00069552549858</v>
      </c>
      <c r="N405" s="1">
        <v>5906578</v>
      </c>
      <c r="O405" s="2">
        <f t="shared" si="55"/>
        <v>1.35717727398581</v>
      </c>
      <c r="P405" s="1">
        <v>2645094</v>
      </c>
      <c r="Q405" s="2">
        <f t="shared" si="60"/>
        <v>0.607773479729924</v>
      </c>
      <c r="S405" s="1">
        <f t="shared" si="59"/>
        <v>1.20217231666283</v>
      </c>
      <c r="T405" s="1">
        <f t="shared" si="56"/>
        <v>1.15273457205314</v>
      </c>
      <c r="U405" s="1">
        <f t="shared" si="61"/>
        <v>1.15641704182437</v>
      </c>
      <c r="V405" s="1">
        <f t="shared" si="57"/>
        <v>1.74729983751235</v>
      </c>
      <c r="W405" s="1">
        <f t="shared" si="58"/>
        <v>2.01545330932344</v>
      </c>
    </row>
    <row r="406" spans="1:23">
      <c r="A406" s="1" t="s">
        <v>423</v>
      </c>
      <c r="B406" s="1">
        <v>79171</v>
      </c>
      <c r="C406" s="1">
        <v>79171</v>
      </c>
      <c r="D406" s="1">
        <v>4352105</v>
      </c>
      <c r="E406" s="1">
        <v>109.792</v>
      </c>
      <c r="F406" s="1">
        <v>95.036</v>
      </c>
      <c r="G406" s="1">
        <v>95.456</v>
      </c>
      <c r="H406" s="1">
        <v>95.226</v>
      </c>
      <c r="I406" s="1">
        <v>62.783</v>
      </c>
      <c r="J406" s="1">
        <v>54.754</v>
      </c>
      <c r="K406" s="1">
        <v>4352105</v>
      </c>
      <c r="L406" s="1">
        <v>4355132</v>
      </c>
      <c r="M406" s="2">
        <f t="shared" si="54"/>
        <v>1.00069552549858</v>
      </c>
      <c r="N406" s="1">
        <v>5906578</v>
      </c>
      <c r="O406" s="2">
        <f t="shared" si="55"/>
        <v>1.35717727398581</v>
      </c>
      <c r="P406" s="1">
        <v>2645094</v>
      </c>
      <c r="Q406" s="2">
        <f t="shared" si="60"/>
        <v>0.607773479729924</v>
      </c>
      <c r="S406" s="1">
        <f t="shared" si="59"/>
        <v>1.15526747758744</v>
      </c>
      <c r="T406" s="1">
        <f t="shared" si="56"/>
        <v>1.15018437814281</v>
      </c>
      <c r="U406" s="1">
        <f t="shared" si="61"/>
        <v>1.15296242622813</v>
      </c>
      <c r="V406" s="1">
        <f t="shared" si="57"/>
        <v>1.74875364350222</v>
      </c>
      <c r="W406" s="1">
        <f t="shared" si="58"/>
        <v>2.00518683566497</v>
      </c>
    </row>
    <row r="407" spans="1:23">
      <c r="A407" s="1" t="s">
        <v>424</v>
      </c>
      <c r="B407" s="1">
        <v>20360</v>
      </c>
      <c r="C407" s="1">
        <v>20360</v>
      </c>
      <c r="D407" s="1">
        <v>509866</v>
      </c>
      <c r="E407" s="1">
        <v>9.395</v>
      </c>
      <c r="F407" s="1">
        <v>8.449</v>
      </c>
      <c r="G407" s="1">
        <v>8.059</v>
      </c>
      <c r="H407" s="1">
        <v>9.253</v>
      </c>
      <c r="I407" s="1">
        <v>8.44</v>
      </c>
      <c r="J407" s="1">
        <v>6.727</v>
      </c>
      <c r="K407" s="1">
        <v>509866</v>
      </c>
      <c r="L407" s="1">
        <v>510056</v>
      </c>
      <c r="M407" s="2">
        <f t="shared" si="54"/>
        <v>1.00037264693076</v>
      </c>
      <c r="N407" s="1">
        <v>702986</v>
      </c>
      <c r="O407" s="2">
        <f t="shared" si="55"/>
        <v>1.37876618562524</v>
      </c>
      <c r="P407" s="1">
        <v>332274</v>
      </c>
      <c r="Q407" s="2">
        <f t="shared" si="60"/>
        <v>0.651688875116207</v>
      </c>
      <c r="S407" s="1">
        <f t="shared" si="59"/>
        <v>1.11196591312581</v>
      </c>
      <c r="T407" s="1">
        <f t="shared" si="56"/>
        <v>1.16577739173595</v>
      </c>
      <c r="U407" s="1">
        <f t="shared" si="61"/>
        <v>1.01534637414892</v>
      </c>
      <c r="V407" s="1">
        <f t="shared" si="57"/>
        <v>1.11315165876777</v>
      </c>
      <c r="W407" s="1">
        <f t="shared" si="58"/>
        <v>1.39661067340568</v>
      </c>
    </row>
    <row r="408" spans="1:23">
      <c r="A408" s="1" t="s">
        <v>425</v>
      </c>
      <c r="B408" s="1">
        <v>20360</v>
      </c>
      <c r="C408" s="1">
        <v>20360</v>
      </c>
      <c r="D408" s="1">
        <v>509866</v>
      </c>
      <c r="E408" s="1">
        <v>9.427</v>
      </c>
      <c r="F408" s="1">
        <v>8.453</v>
      </c>
      <c r="G408" s="1">
        <v>8.071</v>
      </c>
      <c r="H408" s="1">
        <v>9.314</v>
      </c>
      <c r="I408" s="1">
        <v>8.642</v>
      </c>
      <c r="J408" s="1">
        <v>6.703</v>
      </c>
      <c r="K408" s="1">
        <v>509866</v>
      </c>
      <c r="L408" s="1">
        <v>510056</v>
      </c>
      <c r="M408" s="2">
        <f t="shared" si="54"/>
        <v>1.00037264693076</v>
      </c>
      <c r="N408" s="1">
        <v>702986</v>
      </c>
      <c r="O408" s="2">
        <f t="shared" si="55"/>
        <v>1.37876618562524</v>
      </c>
      <c r="P408" s="1">
        <v>332274</v>
      </c>
      <c r="Q408" s="2">
        <f t="shared" si="60"/>
        <v>0.651688875116207</v>
      </c>
      <c r="S408" s="1">
        <f t="shared" si="59"/>
        <v>1.11522536377617</v>
      </c>
      <c r="T408" s="1">
        <f t="shared" si="56"/>
        <v>1.16800892082765</v>
      </c>
      <c r="U408" s="1">
        <f t="shared" si="61"/>
        <v>1.01213227399613</v>
      </c>
      <c r="V408" s="1">
        <f t="shared" si="57"/>
        <v>1.09083545475584</v>
      </c>
      <c r="W408" s="1">
        <f t="shared" si="58"/>
        <v>1.40638520065642</v>
      </c>
    </row>
    <row r="409" spans="1:23">
      <c r="A409" s="1" t="s">
        <v>426</v>
      </c>
      <c r="B409" s="1">
        <v>20360</v>
      </c>
      <c r="C409" s="1">
        <v>20360</v>
      </c>
      <c r="D409" s="1">
        <v>20360</v>
      </c>
      <c r="E409" s="1">
        <v>0.663</v>
      </c>
      <c r="F409" s="1">
        <v>0.646</v>
      </c>
      <c r="G409" s="1">
        <v>0.661</v>
      </c>
      <c r="H409" s="1">
        <v>0.915</v>
      </c>
      <c r="I409" s="1">
        <v>0.579</v>
      </c>
      <c r="J409" s="1">
        <v>0.58</v>
      </c>
      <c r="K409" s="1">
        <v>20360</v>
      </c>
      <c r="L409" s="1">
        <v>20360</v>
      </c>
      <c r="M409" s="2">
        <f t="shared" si="54"/>
        <v>1</v>
      </c>
      <c r="N409" s="1">
        <v>40720</v>
      </c>
      <c r="O409" s="2">
        <f t="shared" si="55"/>
        <v>2</v>
      </c>
      <c r="P409" s="1">
        <v>20360</v>
      </c>
      <c r="Q409" s="2">
        <f t="shared" si="60"/>
        <v>1</v>
      </c>
      <c r="S409" s="1">
        <f t="shared" si="59"/>
        <v>1.02631578947368</v>
      </c>
      <c r="T409" s="1">
        <f t="shared" si="56"/>
        <v>1.00302571860817</v>
      </c>
      <c r="U409" s="1">
        <f t="shared" si="61"/>
        <v>0.724590163934426</v>
      </c>
      <c r="V409" s="1">
        <f t="shared" si="57"/>
        <v>1.14507772020725</v>
      </c>
      <c r="W409" s="1">
        <f t="shared" si="58"/>
        <v>1.14310344827586</v>
      </c>
    </row>
    <row r="410" spans="1:23">
      <c r="A410" s="1" t="s">
        <v>427</v>
      </c>
      <c r="B410" s="1">
        <v>10605</v>
      </c>
      <c r="C410" s="1">
        <v>10605</v>
      </c>
      <c r="D410" s="1">
        <v>144579</v>
      </c>
      <c r="E410" s="1">
        <v>2.572</v>
      </c>
      <c r="F410" s="1">
        <v>2.267</v>
      </c>
      <c r="G410" s="1">
        <v>2.212</v>
      </c>
      <c r="H410" s="1">
        <v>2.947</v>
      </c>
      <c r="I410" s="1">
        <v>1.583</v>
      </c>
      <c r="J410" s="1">
        <v>2.025</v>
      </c>
      <c r="K410" s="1">
        <v>144579</v>
      </c>
      <c r="L410" s="1">
        <v>144648</v>
      </c>
      <c r="M410" s="2">
        <f t="shared" si="54"/>
        <v>1.00047724773307</v>
      </c>
      <c r="N410" s="1">
        <v>242480</v>
      </c>
      <c r="O410" s="2">
        <f t="shared" si="55"/>
        <v>1.67714536689284</v>
      </c>
      <c r="P410" s="1">
        <v>78498</v>
      </c>
      <c r="Q410" s="2">
        <f t="shared" si="60"/>
        <v>0.542941921025875</v>
      </c>
      <c r="S410" s="1">
        <f t="shared" si="59"/>
        <v>1.13453903837671</v>
      </c>
      <c r="T410" s="1">
        <f t="shared" si="56"/>
        <v>1.1627486437613</v>
      </c>
      <c r="U410" s="1">
        <f t="shared" si="61"/>
        <v>0.872751951136749</v>
      </c>
      <c r="V410" s="1">
        <f t="shared" si="57"/>
        <v>1.62476310802274</v>
      </c>
      <c r="W410" s="1">
        <f t="shared" si="58"/>
        <v>1.27012345679012</v>
      </c>
    </row>
    <row r="411" spans="1:23">
      <c r="A411" s="1" t="s">
        <v>428</v>
      </c>
      <c r="B411" s="1">
        <v>10605</v>
      </c>
      <c r="C411" s="1">
        <v>10605</v>
      </c>
      <c r="D411" s="1">
        <v>144579</v>
      </c>
      <c r="E411" s="1">
        <v>2.601</v>
      </c>
      <c r="F411" s="1">
        <v>2.284</v>
      </c>
      <c r="G411" s="1">
        <v>2.228</v>
      </c>
      <c r="H411" s="1">
        <v>2.957</v>
      </c>
      <c r="I411" s="1">
        <v>1.572</v>
      </c>
      <c r="J411" s="1">
        <v>2.037</v>
      </c>
      <c r="K411" s="1">
        <v>144579</v>
      </c>
      <c r="L411" s="1">
        <v>144648</v>
      </c>
      <c r="M411" s="2">
        <f t="shared" si="54"/>
        <v>1.00047724773307</v>
      </c>
      <c r="N411" s="1">
        <v>242480</v>
      </c>
      <c r="O411" s="2">
        <f t="shared" si="55"/>
        <v>1.67714536689284</v>
      </c>
      <c r="P411" s="1">
        <v>78498</v>
      </c>
      <c r="Q411" s="2">
        <f t="shared" si="60"/>
        <v>0.542941921025875</v>
      </c>
      <c r="S411" s="1">
        <f t="shared" si="59"/>
        <v>1.13879159369527</v>
      </c>
      <c r="T411" s="1">
        <f t="shared" si="56"/>
        <v>1.16741472172352</v>
      </c>
      <c r="U411" s="1">
        <f t="shared" si="61"/>
        <v>0.879607710517416</v>
      </c>
      <c r="V411" s="1">
        <f t="shared" si="57"/>
        <v>1.65458015267176</v>
      </c>
      <c r="W411" s="1">
        <f t="shared" si="58"/>
        <v>1.27687776141384</v>
      </c>
    </row>
    <row r="412" spans="1:23">
      <c r="A412" s="1" t="s">
        <v>429</v>
      </c>
      <c r="B412" s="1">
        <v>152078</v>
      </c>
      <c r="C412" s="1">
        <v>152078</v>
      </c>
      <c r="D412" s="1">
        <v>6459326</v>
      </c>
      <c r="E412" s="1">
        <v>166.98</v>
      </c>
      <c r="F412" s="1">
        <v>144.767</v>
      </c>
      <c r="G412" s="1">
        <v>148.779</v>
      </c>
      <c r="H412" s="1">
        <v>114.29</v>
      </c>
      <c r="I412" s="1">
        <v>92.923</v>
      </c>
      <c r="J412" s="1">
        <v>83.43</v>
      </c>
      <c r="K412" s="1">
        <v>6459326</v>
      </c>
      <c r="L412" s="1">
        <v>6459380</v>
      </c>
      <c r="M412" s="2">
        <f t="shared" si="54"/>
        <v>1.00000836000536</v>
      </c>
      <c r="N412" s="1">
        <v>6578610</v>
      </c>
      <c r="O412" s="2">
        <f t="shared" si="55"/>
        <v>1.01846694221657</v>
      </c>
      <c r="P412" s="1">
        <v>3382870</v>
      </c>
      <c r="Q412" s="2">
        <f t="shared" si="60"/>
        <v>0.523718728548458</v>
      </c>
      <c r="S412" s="1">
        <f t="shared" si="59"/>
        <v>1.15343966511705</v>
      </c>
      <c r="T412" s="1">
        <f t="shared" si="56"/>
        <v>1.12233581352207</v>
      </c>
      <c r="U412" s="1">
        <f t="shared" si="61"/>
        <v>1.46102021174206</v>
      </c>
      <c r="V412" s="1">
        <f t="shared" si="57"/>
        <v>1.79697168623484</v>
      </c>
      <c r="W412" s="1">
        <f t="shared" si="58"/>
        <v>2.00143833153542</v>
      </c>
    </row>
    <row r="413" spans="1:23">
      <c r="A413" s="1" t="s">
        <v>430</v>
      </c>
      <c r="B413" s="1">
        <v>181302</v>
      </c>
      <c r="C413" s="1">
        <v>181302</v>
      </c>
      <c r="D413" s="1">
        <v>7839010</v>
      </c>
      <c r="E413" s="1">
        <v>199.478</v>
      </c>
      <c r="F413" s="1">
        <v>170.293</v>
      </c>
      <c r="G413" s="1">
        <v>177.399</v>
      </c>
      <c r="H413" s="1">
        <v>132.957</v>
      </c>
      <c r="I413" s="1">
        <v>108.395</v>
      </c>
      <c r="J413" s="1">
        <v>103.779</v>
      </c>
      <c r="K413" s="1">
        <v>7839010</v>
      </c>
      <c r="L413" s="1">
        <v>7839030</v>
      </c>
      <c r="M413" s="2">
        <f t="shared" si="54"/>
        <v>1.00000255134258</v>
      </c>
      <c r="N413" s="1">
        <v>7971326</v>
      </c>
      <c r="O413" s="2">
        <f t="shared" si="55"/>
        <v>1.01687917224241</v>
      </c>
      <c r="P413" s="1">
        <v>4101972</v>
      </c>
      <c r="Q413" s="2">
        <f t="shared" si="60"/>
        <v>0.523276791329517</v>
      </c>
      <c r="S413" s="1">
        <f t="shared" si="59"/>
        <v>1.17138109023859</v>
      </c>
      <c r="T413" s="1">
        <f t="shared" si="56"/>
        <v>1.1244595516322</v>
      </c>
      <c r="U413" s="1">
        <f t="shared" si="61"/>
        <v>1.50031965221839</v>
      </c>
      <c r="V413" s="1">
        <f t="shared" si="57"/>
        <v>1.8402878361548</v>
      </c>
      <c r="W413" s="1">
        <f t="shared" si="58"/>
        <v>1.92214224457742</v>
      </c>
    </row>
    <row r="414" spans="1:23">
      <c r="A414" s="1" t="s">
        <v>431</v>
      </c>
      <c r="B414" s="1">
        <v>27623</v>
      </c>
      <c r="C414" s="1">
        <v>27623</v>
      </c>
      <c r="D414" s="1">
        <v>439469</v>
      </c>
      <c r="E414" s="1">
        <v>8.476</v>
      </c>
      <c r="F414" s="1">
        <v>8.513</v>
      </c>
      <c r="G414" s="1">
        <v>7.483</v>
      </c>
      <c r="H414" s="1">
        <v>9.467</v>
      </c>
      <c r="I414" s="1">
        <v>9.641</v>
      </c>
      <c r="J414" s="1">
        <v>7.399</v>
      </c>
      <c r="K414" s="1">
        <v>439469</v>
      </c>
      <c r="L414" s="1">
        <v>439968</v>
      </c>
      <c r="M414" s="2">
        <f t="shared" si="54"/>
        <v>1.00113546120432</v>
      </c>
      <c r="N414" s="1">
        <v>650700</v>
      </c>
      <c r="O414" s="2">
        <f t="shared" si="55"/>
        <v>1.48065051232283</v>
      </c>
      <c r="P414" s="1">
        <v>314352</v>
      </c>
      <c r="Q414" s="2">
        <f t="shared" si="60"/>
        <v>0.715299600199331</v>
      </c>
      <c r="S414" s="1">
        <f t="shared" si="59"/>
        <v>0.995653706096558</v>
      </c>
      <c r="T414" s="1">
        <f t="shared" si="56"/>
        <v>1.13270078845383</v>
      </c>
      <c r="U414" s="1">
        <f t="shared" si="61"/>
        <v>0.895320587303264</v>
      </c>
      <c r="V414" s="1">
        <f t="shared" si="57"/>
        <v>0.879161912664661</v>
      </c>
      <c r="W414" s="1">
        <f t="shared" si="58"/>
        <v>1.1455602108393</v>
      </c>
    </row>
    <row r="415" spans="1:23">
      <c r="A415" s="1" t="s">
        <v>432</v>
      </c>
      <c r="B415" s="1">
        <v>82654</v>
      </c>
      <c r="C415" s="1">
        <v>82654</v>
      </c>
      <c r="D415" s="1">
        <v>574458</v>
      </c>
      <c r="E415" s="1">
        <v>13.715</v>
      </c>
      <c r="F415" s="1">
        <v>14.738</v>
      </c>
      <c r="G415" s="1">
        <v>11.91</v>
      </c>
      <c r="H415" s="1">
        <v>17.089</v>
      </c>
      <c r="I415" s="1">
        <v>18.932</v>
      </c>
      <c r="J415" s="1">
        <v>13.561</v>
      </c>
      <c r="K415" s="1">
        <v>574458</v>
      </c>
      <c r="L415" s="1">
        <v>574930</v>
      </c>
      <c r="M415" s="2">
        <f t="shared" si="54"/>
        <v>1.00082164405405</v>
      </c>
      <c r="N415" s="1">
        <v>932682</v>
      </c>
      <c r="O415" s="2">
        <f t="shared" si="55"/>
        <v>1.62358605851081</v>
      </c>
      <c r="P415" s="1">
        <v>461074</v>
      </c>
      <c r="Q415" s="2">
        <f t="shared" si="60"/>
        <v>0.802624386813309</v>
      </c>
      <c r="S415" s="1">
        <f t="shared" si="59"/>
        <v>0.930587596688832</v>
      </c>
      <c r="T415" s="1">
        <f t="shared" si="56"/>
        <v>1.15155331654072</v>
      </c>
      <c r="U415" s="1">
        <f t="shared" si="61"/>
        <v>0.802563052255837</v>
      </c>
      <c r="V415" s="1">
        <f t="shared" si="57"/>
        <v>0.724434819353476</v>
      </c>
      <c r="W415" s="1">
        <f t="shared" si="58"/>
        <v>1.01135609468328</v>
      </c>
    </row>
    <row r="416" spans="1:23">
      <c r="A416" s="1" t="s">
        <v>433</v>
      </c>
      <c r="B416" s="1">
        <v>1228045</v>
      </c>
      <c r="C416" s="1">
        <v>1228045</v>
      </c>
      <c r="D416" s="1">
        <v>8580313</v>
      </c>
      <c r="E416" s="1">
        <v>302.514</v>
      </c>
      <c r="F416" s="1">
        <v>330.168</v>
      </c>
      <c r="G416" s="1">
        <v>288.637</v>
      </c>
      <c r="H416" s="1">
        <v>391.473</v>
      </c>
      <c r="I416" s="1">
        <v>421.31</v>
      </c>
      <c r="J416" s="1">
        <v>267.855</v>
      </c>
      <c r="K416" s="1">
        <v>8580313</v>
      </c>
      <c r="L416" s="1">
        <v>8586476</v>
      </c>
      <c r="M416" s="2">
        <f t="shared" si="54"/>
        <v>1.0007182721656</v>
      </c>
      <c r="N416" s="1">
        <v>14127462</v>
      </c>
      <c r="O416" s="2">
        <f t="shared" si="55"/>
        <v>1.6464972781296</v>
      </c>
      <c r="P416" s="1">
        <v>6972046</v>
      </c>
      <c r="Q416" s="2">
        <f t="shared" si="60"/>
        <v>0.812563131438212</v>
      </c>
      <c r="S416" s="1">
        <f t="shared" si="59"/>
        <v>0.916242640110489</v>
      </c>
      <c r="T416" s="1">
        <f t="shared" si="56"/>
        <v>1.04807768927754</v>
      </c>
      <c r="U416" s="1">
        <f t="shared" si="61"/>
        <v>0.772758274517017</v>
      </c>
      <c r="V416" s="1">
        <f t="shared" si="57"/>
        <v>0.718031853029836</v>
      </c>
      <c r="W416" s="1">
        <f t="shared" si="58"/>
        <v>1.12939463515708</v>
      </c>
    </row>
    <row r="417" spans="1:23">
      <c r="A417" s="1" t="s">
        <v>434</v>
      </c>
      <c r="B417" s="1">
        <v>204316</v>
      </c>
      <c r="C417" s="1">
        <v>204316</v>
      </c>
      <c r="D417" s="1">
        <v>1423116</v>
      </c>
      <c r="E417" s="1">
        <v>54.838</v>
      </c>
      <c r="F417" s="1">
        <v>56.701</v>
      </c>
      <c r="G417" s="1">
        <v>53.106</v>
      </c>
      <c r="H417" s="1">
        <v>85.843</v>
      </c>
      <c r="I417" s="1">
        <v>53.538</v>
      </c>
      <c r="J417" s="1">
        <v>59.904</v>
      </c>
      <c r="K417" s="1">
        <v>1423116</v>
      </c>
      <c r="L417" s="1">
        <v>1423116</v>
      </c>
      <c r="M417" s="2">
        <f t="shared" si="54"/>
        <v>1</v>
      </c>
      <c r="N417" s="1">
        <v>2846232</v>
      </c>
      <c r="O417" s="2">
        <f t="shared" si="55"/>
        <v>2</v>
      </c>
      <c r="P417" s="1">
        <v>813716</v>
      </c>
      <c r="Q417" s="2">
        <f t="shared" si="60"/>
        <v>0.571784731532777</v>
      </c>
      <c r="S417" s="1">
        <f t="shared" si="59"/>
        <v>0.967143436623693</v>
      </c>
      <c r="T417" s="1">
        <f t="shared" si="56"/>
        <v>1.03261401724852</v>
      </c>
      <c r="U417" s="1">
        <f t="shared" si="61"/>
        <v>0.638817375907179</v>
      </c>
      <c r="V417" s="1">
        <f t="shared" si="57"/>
        <v>1.02428181852142</v>
      </c>
      <c r="W417" s="1">
        <f t="shared" si="58"/>
        <v>0.915431356837607</v>
      </c>
    </row>
    <row r="418" spans="1:23">
      <c r="A418" s="1" t="s">
        <v>435</v>
      </c>
      <c r="B418" s="1">
        <v>102158</v>
      </c>
      <c r="C418" s="1">
        <v>102158</v>
      </c>
      <c r="D418" s="1">
        <v>711558</v>
      </c>
      <c r="E418" s="1">
        <v>24.822</v>
      </c>
      <c r="F418" s="1">
        <v>27.715</v>
      </c>
      <c r="G418" s="1">
        <v>23.709</v>
      </c>
      <c r="H418" s="1">
        <v>33.166</v>
      </c>
      <c r="I418" s="1">
        <v>35.043</v>
      </c>
      <c r="J418" s="1">
        <v>24.707</v>
      </c>
      <c r="K418" s="1">
        <v>711558</v>
      </c>
      <c r="L418" s="1">
        <v>711952</v>
      </c>
      <c r="M418" s="2">
        <f t="shared" si="54"/>
        <v>1.00055371452503</v>
      </c>
      <c r="N418" s="1">
        <v>1413270</v>
      </c>
      <c r="O418" s="2">
        <f t="shared" si="55"/>
        <v>1.98616275834155</v>
      </c>
      <c r="P418" s="1">
        <v>705654</v>
      </c>
      <c r="Q418" s="2">
        <f t="shared" si="60"/>
        <v>0.991702714325466</v>
      </c>
      <c r="S418" s="1">
        <f t="shared" si="59"/>
        <v>0.895616092368753</v>
      </c>
      <c r="T418" s="1">
        <f t="shared" si="56"/>
        <v>1.04694419840567</v>
      </c>
      <c r="U418" s="1">
        <f t="shared" si="61"/>
        <v>0.748417053609118</v>
      </c>
      <c r="V418" s="1">
        <f t="shared" si="57"/>
        <v>0.708329766287133</v>
      </c>
      <c r="W418" s="1">
        <f t="shared" si="58"/>
        <v>1.00465455134172</v>
      </c>
    </row>
    <row r="419" spans="1:23">
      <c r="A419" s="1" t="s">
        <v>436</v>
      </c>
      <c r="B419" s="1">
        <v>102158</v>
      </c>
      <c r="C419" s="1">
        <v>102158</v>
      </c>
      <c r="D419" s="1">
        <v>711558</v>
      </c>
      <c r="E419" s="1">
        <v>24.184</v>
      </c>
      <c r="F419" s="1">
        <v>26.948</v>
      </c>
      <c r="G419" s="1">
        <v>23.053</v>
      </c>
      <c r="H419" s="1">
        <v>32.405</v>
      </c>
      <c r="I419" s="1">
        <v>40.902</v>
      </c>
      <c r="J419" s="1">
        <v>25.382</v>
      </c>
      <c r="K419" s="1">
        <v>711558</v>
      </c>
      <c r="L419" s="1">
        <v>711952</v>
      </c>
      <c r="M419" s="2">
        <f t="shared" si="54"/>
        <v>1.00055371452503</v>
      </c>
      <c r="N419" s="1">
        <v>1413270</v>
      </c>
      <c r="O419" s="2">
        <f t="shared" si="55"/>
        <v>1.98616275834155</v>
      </c>
      <c r="P419" s="1">
        <v>705654</v>
      </c>
      <c r="Q419" s="2">
        <f t="shared" si="60"/>
        <v>0.991702714325466</v>
      </c>
      <c r="S419" s="1">
        <f t="shared" si="59"/>
        <v>0.897432091435357</v>
      </c>
      <c r="T419" s="1">
        <f t="shared" si="56"/>
        <v>1.04906085975795</v>
      </c>
      <c r="U419" s="1">
        <f t="shared" si="61"/>
        <v>0.746304582626138</v>
      </c>
      <c r="V419" s="1">
        <f t="shared" ref="V419:V446" si="62">E419/I419</f>
        <v>0.591266930712435</v>
      </c>
      <c r="W419" s="1">
        <f t="shared" si="58"/>
        <v>0.952801197699157</v>
      </c>
    </row>
    <row r="420" spans="1:23">
      <c r="A420" s="1" t="s">
        <v>437</v>
      </c>
      <c r="B420" s="1">
        <v>29736</v>
      </c>
      <c r="C420" s="1">
        <v>29736</v>
      </c>
      <c r="D420" s="1">
        <v>4470048</v>
      </c>
      <c r="E420" s="1">
        <v>115.543</v>
      </c>
      <c r="F420" s="1">
        <v>91.253</v>
      </c>
      <c r="G420" s="1">
        <v>104.847</v>
      </c>
      <c r="H420" s="1">
        <v>74.708</v>
      </c>
      <c r="I420" s="1">
        <v>50.296</v>
      </c>
      <c r="J420" s="1">
        <v>101.224</v>
      </c>
      <c r="K420" s="1">
        <v>4470048</v>
      </c>
      <c r="L420" s="1">
        <v>4474956</v>
      </c>
      <c r="M420" s="2">
        <f t="shared" si="54"/>
        <v>1.00109797478685</v>
      </c>
      <c r="N420" s="1">
        <v>4888380</v>
      </c>
      <c r="O420" s="2">
        <f t="shared" si="55"/>
        <v>1.09358557223547</v>
      </c>
      <c r="P420" s="1">
        <v>2297734</v>
      </c>
      <c r="Q420" s="2">
        <f t="shared" si="60"/>
        <v>0.514028932127798</v>
      </c>
      <c r="S420" s="1">
        <f t="shared" si="59"/>
        <v>1.26618302959903</v>
      </c>
      <c r="T420" s="1">
        <f t="shared" si="56"/>
        <v>1.10201531755797</v>
      </c>
      <c r="U420" s="1">
        <f t="shared" si="61"/>
        <v>1.54659474219628</v>
      </c>
      <c r="V420" s="1">
        <f t="shared" si="62"/>
        <v>2.29726021950056</v>
      </c>
      <c r="W420" s="1">
        <f t="shared" si="58"/>
        <v>1.14145854738007</v>
      </c>
    </row>
    <row r="421" spans="1:23">
      <c r="A421" s="1" t="s">
        <v>438</v>
      </c>
      <c r="B421" s="1">
        <v>726713</v>
      </c>
      <c r="C421" s="1">
        <v>726713</v>
      </c>
      <c r="D421" s="1">
        <v>5080961</v>
      </c>
      <c r="E421" s="1">
        <v>172.404</v>
      </c>
      <c r="F421" s="1">
        <v>174.953</v>
      </c>
      <c r="G421" s="1">
        <v>142.632</v>
      </c>
      <c r="H421" s="1">
        <v>173.133</v>
      </c>
      <c r="I421" s="1">
        <v>135.317</v>
      </c>
      <c r="J421" s="1">
        <v>147.345</v>
      </c>
      <c r="K421" s="1">
        <v>5080961</v>
      </c>
      <c r="L421" s="1">
        <v>5084374</v>
      </c>
      <c r="M421" s="2">
        <f t="shared" si="54"/>
        <v>1.00067172332163</v>
      </c>
      <c r="N421" s="1">
        <v>6531442</v>
      </c>
      <c r="O421" s="2">
        <f t="shared" si="55"/>
        <v>1.28547375191425</v>
      </c>
      <c r="P421" s="1">
        <v>3176690</v>
      </c>
      <c r="Q421" s="2">
        <f t="shared" si="60"/>
        <v>0.625214403338266</v>
      </c>
      <c r="S421" s="1">
        <f t="shared" si="59"/>
        <v>0.985430372728676</v>
      </c>
      <c r="T421" s="1">
        <f t="shared" si="56"/>
        <v>1.20873296314992</v>
      </c>
      <c r="U421" s="1">
        <f t="shared" si="61"/>
        <v>0.995789364245984</v>
      </c>
      <c r="V421" s="1">
        <f t="shared" si="62"/>
        <v>1.27407494993238</v>
      </c>
      <c r="W421" s="1">
        <f t="shared" si="58"/>
        <v>1.17007024330653</v>
      </c>
    </row>
    <row r="422" spans="1:23">
      <c r="A422" s="1" t="s">
        <v>439</v>
      </c>
      <c r="B422" s="1">
        <v>40000</v>
      </c>
      <c r="C422" s="1">
        <v>40000</v>
      </c>
      <c r="D422" s="1">
        <v>197608</v>
      </c>
      <c r="E422" s="1">
        <v>4.323</v>
      </c>
      <c r="F422" s="1">
        <v>8.677</v>
      </c>
      <c r="G422" s="1">
        <v>4.031</v>
      </c>
      <c r="H422" s="1">
        <v>5.566</v>
      </c>
      <c r="I422" s="1">
        <v>3.865</v>
      </c>
      <c r="J422" s="1">
        <v>3.596</v>
      </c>
      <c r="K422" s="1">
        <v>197608</v>
      </c>
      <c r="L422" s="1">
        <v>197634</v>
      </c>
      <c r="M422" s="2">
        <f t="shared" si="54"/>
        <v>1.0001315736205</v>
      </c>
      <c r="N422" s="1">
        <v>316016</v>
      </c>
      <c r="O422" s="2">
        <f t="shared" si="55"/>
        <v>1.5992065098579</v>
      </c>
      <c r="P422" s="1">
        <v>119400</v>
      </c>
      <c r="Q422" s="2">
        <f t="shared" si="60"/>
        <v>0.604226549532408</v>
      </c>
      <c r="S422" s="1">
        <f t="shared" si="59"/>
        <v>0.498213668318543</v>
      </c>
      <c r="T422" s="1">
        <f t="shared" si="56"/>
        <v>1.07243860084346</v>
      </c>
      <c r="U422" s="1">
        <f t="shared" si="61"/>
        <v>0.776679841897233</v>
      </c>
      <c r="V422" s="1">
        <f t="shared" si="62"/>
        <v>1.11849935316947</v>
      </c>
      <c r="W422" s="1">
        <f t="shared" si="58"/>
        <v>1.20216907675195</v>
      </c>
    </row>
    <row r="423" spans="1:23">
      <c r="A423" s="1" t="s">
        <v>440</v>
      </c>
      <c r="B423" s="1">
        <v>8140</v>
      </c>
      <c r="C423" s="1">
        <v>8140</v>
      </c>
      <c r="D423" s="1">
        <v>2016902</v>
      </c>
      <c r="E423" s="1">
        <v>43.435</v>
      </c>
      <c r="F423" s="1">
        <v>29.012</v>
      </c>
      <c r="G423" s="1">
        <v>32.563</v>
      </c>
      <c r="H423" s="1">
        <v>24.165</v>
      </c>
      <c r="I423" s="1">
        <v>18.477</v>
      </c>
      <c r="J423" s="1">
        <v>19.378</v>
      </c>
      <c r="K423" s="1">
        <v>2016902</v>
      </c>
      <c r="L423" s="1">
        <v>2016980</v>
      </c>
      <c r="M423" s="2">
        <f t="shared" si="54"/>
        <v>1.00003867317301</v>
      </c>
      <c r="N423" s="1">
        <v>2061362</v>
      </c>
      <c r="O423" s="2">
        <f t="shared" si="55"/>
        <v>1.02204370861847</v>
      </c>
      <c r="P423" s="1">
        <v>1022760</v>
      </c>
      <c r="Q423" s="2">
        <f t="shared" si="60"/>
        <v>0.507094544008583</v>
      </c>
      <c r="S423" s="1">
        <f t="shared" si="59"/>
        <v>1.49713911484903</v>
      </c>
      <c r="T423" s="1">
        <f t="shared" si="56"/>
        <v>1.33387587138777</v>
      </c>
      <c r="U423" s="1">
        <f t="shared" si="61"/>
        <v>1.79743430581419</v>
      </c>
      <c r="V423" s="1">
        <f t="shared" si="62"/>
        <v>2.35076040482762</v>
      </c>
      <c r="W423" s="1">
        <f t="shared" si="58"/>
        <v>2.24145938693364</v>
      </c>
    </row>
    <row r="424" spans="1:23">
      <c r="A424" s="1" t="s">
        <v>441</v>
      </c>
      <c r="B424" s="1">
        <v>9774</v>
      </c>
      <c r="C424" s="1">
        <v>9774</v>
      </c>
      <c r="D424" s="1">
        <v>820804</v>
      </c>
      <c r="E424" s="1">
        <v>16.119</v>
      </c>
      <c r="F424" s="1">
        <v>11.804</v>
      </c>
      <c r="G424" s="1">
        <v>12.885</v>
      </c>
      <c r="H424" s="1">
        <v>9.989</v>
      </c>
      <c r="I424" s="1">
        <v>8.242</v>
      </c>
      <c r="J424" s="1">
        <v>8.609</v>
      </c>
      <c r="K424" s="1">
        <v>820804</v>
      </c>
      <c r="L424" s="1">
        <v>825206</v>
      </c>
      <c r="M424" s="2">
        <f t="shared" si="54"/>
        <v>1.00536303429321</v>
      </c>
      <c r="N424" s="1">
        <v>859332</v>
      </c>
      <c r="O424" s="2">
        <f t="shared" si="55"/>
        <v>1.04693934240087</v>
      </c>
      <c r="P424" s="1">
        <v>420034</v>
      </c>
      <c r="Q424" s="2">
        <f t="shared" si="60"/>
        <v>0.511734835600216</v>
      </c>
      <c r="S424" s="1">
        <f t="shared" si="59"/>
        <v>1.36555404947475</v>
      </c>
      <c r="T424" s="1">
        <f t="shared" si="56"/>
        <v>1.25098952270081</v>
      </c>
      <c r="U424" s="1">
        <f t="shared" si="61"/>
        <v>1.6136750425468</v>
      </c>
      <c r="V424" s="1">
        <f t="shared" si="62"/>
        <v>1.95571463237078</v>
      </c>
      <c r="W424" s="1">
        <f t="shared" si="58"/>
        <v>1.87234289696829</v>
      </c>
    </row>
    <row r="425" spans="1:23">
      <c r="A425" s="1" t="s">
        <v>442</v>
      </c>
      <c r="B425" s="1">
        <v>10798</v>
      </c>
      <c r="C425" s="1">
        <v>10798</v>
      </c>
      <c r="D425" s="1">
        <v>608540</v>
      </c>
      <c r="E425" s="1">
        <v>12.721</v>
      </c>
      <c r="F425" s="1">
        <v>9.69</v>
      </c>
      <c r="G425" s="1">
        <v>9.935</v>
      </c>
      <c r="H425" s="1">
        <v>7.853</v>
      </c>
      <c r="I425" s="1">
        <v>6.62</v>
      </c>
      <c r="J425" s="1">
        <v>7.503</v>
      </c>
      <c r="K425" s="1">
        <v>608540</v>
      </c>
      <c r="L425" s="1">
        <v>613418</v>
      </c>
      <c r="M425" s="2">
        <f t="shared" si="54"/>
        <v>1.00801590692477</v>
      </c>
      <c r="N425" s="1">
        <v>657058</v>
      </c>
      <c r="O425" s="2">
        <f t="shared" si="55"/>
        <v>1.07972853058139</v>
      </c>
      <c r="P425" s="1">
        <v>316834</v>
      </c>
      <c r="Q425" s="2">
        <f t="shared" si="60"/>
        <v>0.520646136654945</v>
      </c>
      <c r="S425" s="1">
        <f t="shared" si="59"/>
        <v>1.31279669762642</v>
      </c>
      <c r="T425" s="1">
        <f t="shared" si="56"/>
        <v>1.2804227478611</v>
      </c>
      <c r="U425" s="1">
        <f t="shared" si="61"/>
        <v>1.6198904877117</v>
      </c>
      <c r="V425" s="1">
        <f t="shared" si="62"/>
        <v>1.92160120845921</v>
      </c>
      <c r="W425" s="1">
        <f t="shared" si="58"/>
        <v>1.69545515127282</v>
      </c>
    </row>
    <row r="426" spans="1:23">
      <c r="A426" s="1" t="s">
        <v>443</v>
      </c>
      <c r="B426" s="1">
        <v>30798</v>
      </c>
      <c r="C426" s="1">
        <v>30798</v>
      </c>
      <c r="D426" s="1">
        <v>1801300</v>
      </c>
      <c r="E426" s="1">
        <v>37.573</v>
      </c>
      <c r="F426" s="1">
        <v>28.618</v>
      </c>
      <c r="G426" s="1">
        <v>28.937</v>
      </c>
      <c r="H426" s="1">
        <v>23.44</v>
      </c>
      <c r="I426" s="1">
        <v>23.811</v>
      </c>
      <c r="J426" s="1">
        <v>23.839</v>
      </c>
      <c r="K426" s="1">
        <v>1801300</v>
      </c>
      <c r="L426" s="1">
        <v>1815904</v>
      </c>
      <c r="M426" s="2">
        <f t="shared" si="54"/>
        <v>1.0081074779326</v>
      </c>
      <c r="N426" s="1">
        <v>1934674</v>
      </c>
      <c r="O426" s="2">
        <f t="shared" si="55"/>
        <v>1.0740431910287</v>
      </c>
      <c r="P426" s="1">
        <v>933356</v>
      </c>
      <c r="Q426" s="2">
        <f t="shared" si="60"/>
        <v>0.518156886692944</v>
      </c>
      <c r="S426" s="1">
        <f t="shared" si="59"/>
        <v>1.31291494863373</v>
      </c>
      <c r="T426" s="1">
        <f t="shared" si="56"/>
        <v>1.29844144175277</v>
      </c>
      <c r="U426" s="1">
        <f t="shared" si="61"/>
        <v>1.60294368600683</v>
      </c>
      <c r="V426" s="1">
        <f t="shared" si="62"/>
        <v>1.57796816597371</v>
      </c>
      <c r="W426" s="1">
        <f t="shared" si="58"/>
        <v>1.57611476991485</v>
      </c>
    </row>
    <row r="427" spans="1:23">
      <c r="A427" s="1" t="s">
        <v>444</v>
      </c>
      <c r="B427" s="1">
        <v>40798</v>
      </c>
      <c r="C427" s="1">
        <v>40798</v>
      </c>
      <c r="D427" s="1">
        <v>2398220</v>
      </c>
      <c r="E427" s="1">
        <v>51.46</v>
      </c>
      <c r="F427" s="1">
        <v>39.102</v>
      </c>
      <c r="G427" s="1">
        <v>38.746</v>
      </c>
      <c r="H427" s="1">
        <v>30.361</v>
      </c>
      <c r="I427" s="1">
        <v>27.098</v>
      </c>
      <c r="J427" s="1">
        <v>30.177</v>
      </c>
      <c r="K427" s="1">
        <v>2398220</v>
      </c>
      <c r="L427" s="1">
        <v>2417782</v>
      </c>
      <c r="M427" s="2">
        <f t="shared" si="54"/>
        <v>1.00815688302157</v>
      </c>
      <c r="N427" s="1">
        <v>2574034</v>
      </c>
      <c r="O427" s="2">
        <f t="shared" si="55"/>
        <v>1.07331020506876</v>
      </c>
      <c r="P427" s="1">
        <v>1241872</v>
      </c>
      <c r="Q427" s="2">
        <f t="shared" si="60"/>
        <v>0.51783072445397</v>
      </c>
      <c r="S427" s="1">
        <f t="shared" si="59"/>
        <v>1.31604521507851</v>
      </c>
      <c r="T427" s="1">
        <f t="shared" si="56"/>
        <v>1.32813709802302</v>
      </c>
      <c r="U427" s="1">
        <f t="shared" si="61"/>
        <v>1.69493758440104</v>
      </c>
      <c r="V427" s="1">
        <f t="shared" si="62"/>
        <v>1.89903313897705</v>
      </c>
      <c r="W427" s="1">
        <f t="shared" si="58"/>
        <v>1.7052722271929</v>
      </c>
    </row>
    <row r="428" spans="1:23">
      <c r="A428" s="1" t="s">
        <v>445</v>
      </c>
      <c r="B428" s="1">
        <v>29214</v>
      </c>
      <c r="C428" s="1">
        <v>29214</v>
      </c>
      <c r="D428" s="1">
        <v>4400122</v>
      </c>
      <c r="E428" s="1">
        <v>113.919</v>
      </c>
      <c r="F428" s="1">
        <v>90.539</v>
      </c>
      <c r="G428" s="1">
        <v>100.443</v>
      </c>
      <c r="H428" s="1">
        <v>64.85</v>
      </c>
      <c r="I428" s="1">
        <v>47.917</v>
      </c>
      <c r="J428" s="1">
        <v>51.959</v>
      </c>
      <c r="K428" s="1">
        <v>4400122</v>
      </c>
      <c r="L428" s="1">
        <v>4413732</v>
      </c>
      <c r="M428" s="2">
        <f t="shared" si="54"/>
        <v>1.00309309605506</v>
      </c>
      <c r="N428" s="1">
        <v>4534536</v>
      </c>
      <c r="O428" s="2">
        <f t="shared" si="55"/>
        <v>1.03054778935675</v>
      </c>
      <c r="P428" s="1">
        <v>2233918</v>
      </c>
      <c r="Q428" s="2">
        <f t="shared" si="60"/>
        <v>0.507694559378126</v>
      </c>
      <c r="S428" s="1">
        <f t="shared" si="59"/>
        <v>1.25823125945725</v>
      </c>
      <c r="T428" s="1">
        <f t="shared" si="56"/>
        <v>1.13416564618739</v>
      </c>
      <c r="U428" s="1">
        <f t="shared" si="61"/>
        <v>1.75665381649961</v>
      </c>
      <c r="V428" s="1">
        <f t="shared" si="62"/>
        <v>2.37742346140201</v>
      </c>
      <c r="W428" s="1">
        <f t="shared" si="58"/>
        <v>2.19247868511711</v>
      </c>
    </row>
    <row r="429" spans="1:23">
      <c r="A429" s="1" t="s">
        <v>446</v>
      </c>
      <c r="B429" s="1">
        <v>29214</v>
      </c>
      <c r="C429" s="1">
        <v>29214</v>
      </c>
      <c r="D429" s="1">
        <v>4400122</v>
      </c>
      <c r="E429" s="1">
        <v>113.526</v>
      </c>
      <c r="F429" s="1">
        <v>98.827</v>
      </c>
      <c r="G429" s="1">
        <v>103.908</v>
      </c>
      <c r="H429" s="1">
        <v>123.611</v>
      </c>
      <c r="I429" s="1">
        <v>48.476</v>
      </c>
      <c r="J429" s="1">
        <v>91.221</v>
      </c>
      <c r="K429" s="1">
        <v>4400122</v>
      </c>
      <c r="L429" s="1">
        <v>4413732</v>
      </c>
      <c r="M429" s="2">
        <f t="shared" si="54"/>
        <v>1.00309309605506</v>
      </c>
      <c r="N429" s="1">
        <v>4534536</v>
      </c>
      <c r="O429" s="2">
        <f t="shared" si="55"/>
        <v>1.03054778935675</v>
      </c>
      <c r="P429" s="1">
        <v>2233918</v>
      </c>
      <c r="Q429" s="2">
        <f t="shared" si="60"/>
        <v>0.507694559378126</v>
      </c>
      <c r="S429" s="1">
        <f t="shared" si="59"/>
        <v>1.14873465753286</v>
      </c>
      <c r="T429" s="1">
        <f t="shared" si="56"/>
        <v>1.09256265157639</v>
      </c>
      <c r="U429" s="1">
        <f t="shared" si="61"/>
        <v>0.918413409809806</v>
      </c>
      <c r="V429" s="1">
        <f t="shared" si="62"/>
        <v>2.34190114695932</v>
      </c>
      <c r="W429" s="1">
        <f t="shared" si="58"/>
        <v>1.24451606537968</v>
      </c>
    </row>
    <row r="430" spans="1:23">
      <c r="A430" s="1" t="s">
        <v>447</v>
      </c>
      <c r="B430" s="1">
        <v>56814</v>
      </c>
      <c r="C430" s="1">
        <v>56814</v>
      </c>
      <c r="D430" s="1">
        <v>8767466</v>
      </c>
      <c r="E430" s="1">
        <v>229.587</v>
      </c>
      <c r="F430" s="1">
        <v>187.849</v>
      </c>
      <c r="G430" s="1">
        <v>183.742</v>
      </c>
      <c r="H430" s="1">
        <v>130.758</v>
      </c>
      <c r="I430" s="1">
        <v>129.19</v>
      </c>
      <c r="J430" s="1">
        <v>110.28</v>
      </c>
      <c r="K430" s="1">
        <v>8767466</v>
      </c>
      <c r="L430" s="1">
        <v>8794720</v>
      </c>
      <c r="M430" s="2">
        <f t="shared" si="54"/>
        <v>1.00310853786031</v>
      </c>
      <c r="N430" s="1">
        <v>9023938</v>
      </c>
      <c r="O430" s="2">
        <f t="shared" si="55"/>
        <v>1.02925269399391</v>
      </c>
      <c r="P430" s="1">
        <v>4447504</v>
      </c>
      <c r="Q430" s="2">
        <f t="shared" si="60"/>
        <v>0.507273595358111</v>
      </c>
      <c r="S430" s="1">
        <f t="shared" si="59"/>
        <v>1.22218909869097</v>
      </c>
      <c r="T430" s="1">
        <f t="shared" si="56"/>
        <v>1.24950746154935</v>
      </c>
      <c r="U430" s="1">
        <f t="shared" si="61"/>
        <v>1.75581608773459</v>
      </c>
      <c r="V430" s="1">
        <f t="shared" si="62"/>
        <v>1.77712671259385</v>
      </c>
      <c r="W430" s="1">
        <f t="shared" si="58"/>
        <v>2.08185527747552</v>
      </c>
    </row>
    <row r="431" spans="1:23">
      <c r="A431" s="1" t="s">
        <v>448</v>
      </c>
      <c r="B431" s="1">
        <v>84414</v>
      </c>
      <c r="C431" s="1">
        <v>84414</v>
      </c>
      <c r="D431" s="1">
        <v>13135930</v>
      </c>
      <c r="E431" s="1">
        <v>351.012</v>
      </c>
      <c r="F431" s="1">
        <v>283.331</v>
      </c>
      <c r="G431" s="1">
        <v>291.164</v>
      </c>
      <c r="H431" s="1">
        <v>209.226</v>
      </c>
      <c r="I431" s="1">
        <v>197.422</v>
      </c>
      <c r="J431" s="1">
        <v>169.235</v>
      </c>
      <c r="K431" s="1">
        <v>13135930</v>
      </c>
      <c r="L431" s="1">
        <v>13177364</v>
      </c>
      <c r="M431" s="2">
        <f t="shared" si="54"/>
        <v>1.00315424945169</v>
      </c>
      <c r="N431" s="1">
        <v>13513080</v>
      </c>
      <c r="O431" s="2">
        <f t="shared" si="55"/>
        <v>1.02871132839472</v>
      </c>
      <c r="P431" s="1">
        <v>6660856</v>
      </c>
      <c r="Q431" s="2">
        <f t="shared" si="60"/>
        <v>0.507071520630819</v>
      </c>
      <c r="S431" s="1">
        <f t="shared" si="59"/>
        <v>1.23887608486188</v>
      </c>
      <c r="T431" s="1">
        <f t="shared" si="56"/>
        <v>1.2055473891003</v>
      </c>
      <c r="U431" s="1">
        <f t="shared" si="61"/>
        <v>1.67766912334031</v>
      </c>
      <c r="V431" s="1">
        <f t="shared" si="62"/>
        <v>1.77797813820142</v>
      </c>
      <c r="W431" s="1">
        <f t="shared" si="58"/>
        <v>2.07410996543268</v>
      </c>
    </row>
    <row r="432" spans="1:23">
      <c r="A432" s="1" t="s">
        <v>449</v>
      </c>
      <c r="B432" s="1">
        <v>76216</v>
      </c>
      <c r="C432" s="1">
        <v>76216</v>
      </c>
      <c r="D432" s="1">
        <v>1977600</v>
      </c>
      <c r="E432" s="1">
        <v>50.349</v>
      </c>
      <c r="F432" s="1">
        <v>48.003</v>
      </c>
      <c r="G432" s="1">
        <v>48.288</v>
      </c>
      <c r="H432" s="1">
        <v>41.415</v>
      </c>
      <c r="I432" s="1">
        <v>24.814</v>
      </c>
      <c r="J432" s="1">
        <v>32.984</v>
      </c>
      <c r="K432" s="1">
        <v>1977600</v>
      </c>
      <c r="L432" s="1">
        <v>1977614</v>
      </c>
      <c r="M432" s="2">
        <f t="shared" si="54"/>
        <v>1.00000707928803</v>
      </c>
      <c r="N432" s="1">
        <v>2244056</v>
      </c>
      <c r="O432" s="2">
        <f t="shared" si="55"/>
        <v>1.13473705501618</v>
      </c>
      <c r="P432" s="1">
        <v>1065226</v>
      </c>
      <c r="Q432" s="2">
        <f t="shared" si="60"/>
        <v>0.538645833333333</v>
      </c>
      <c r="S432" s="1">
        <f t="shared" si="59"/>
        <v>1.04887194550341</v>
      </c>
      <c r="T432" s="1">
        <f t="shared" si="56"/>
        <v>1.04268141153082</v>
      </c>
      <c r="U432" s="1">
        <f t="shared" si="61"/>
        <v>1.21571894241217</v>
      </c>
      <c r="V432" s="1">
        <f t="shared" si="62"/>
        <v>2.02905617796405</v>
      </c>
      <c r="W432" s="1">
        <f t="shared" si="58"/>
        <v>1.52646737812273</v>
      </c>
    </row>
    <row r="433" spans="1:23">
      <c r="A433" s="1" t="s">
        <v>450</v>
      </c>
      <c r="B433" s="1">
        <v>120216</v>
      </c>
      <c r="C433" s="1">
        <v>120216</v>
      </c>
      <c r="D433" s="1">
        <v>3121160</v>
      </c>
      <c r="E433" s="1">
        <v>113.845</v>
      </c>
      <c r="F433" s="1">
        <v>121.226</v>
      </c>
      <c r="G433" s="1">
        <v>66.682</v>
      </c>
      <c r="H433" s="1">
        <v>76.69</v>
      </c>
      <c r="I433" s="1">
        <v>48.337</v>
      </c>
      <c r="J433" s="1">
        <v>48.441</v>
      </c>
      <c r="K433" s="1">
        <v>3121160</v>
      </c>
      <c r="L433" s="1">
        <v>3121174</v>
      </c>
      <c r="M433" s="2">
        <f t="shared" si="54"/>
        <v>1.0000044855118</v>
      </c>
      <c r="N433" s="1">
        <v>3541176</v>
      </c>
      <c r="O433" s="2">
        <f t="shared" si="55"/>
        <v>1.13457048020608</v>
      </c>
      <c r="P433" s="1">
        <v>1681006</v>
      </c>
      <c r="Q433" s="2">
        <f t="shared" si="60"/>
        <v>0.5385837316895</v>
      </c>
      <c r="S433" s="1">
        <f t="shared" si="59"/>
        <v>0.939113721478891</v>
      </c>
      <c r="T433" s="1">
        <f t="shared" si="56"/>
        <v>1.70728232506523</v>
      </c>
      <c r="U433" s="1">
        <f t="shared" si="61"/>
        <v>1.48448298343982</v>
      </c>
      <c r="V433" s="1">
        <f t="shared" si="62"/>
        <v>2.35523512009434</v>
      </c>
      <c r="W433" s="1">
        <f t="shared" si="58"/>
        <v>2.3501785677422</v>
      </c>
    </row>
    <row r="434" spans="1:23">
      <c r="A434" s="1" t="s">
        <v>451</v>
      </c>
      <c r="B434" s="1">
        <v>28216</v>
      </c>
      <c r="C434" s="1">
        <v>28216</v>
      </c>
      <c r="D434" s="1">
        <v>730080</v>
      </c>
      <c r="E434" s="1">
        <v>15.253</v>
      </c>
      <c r="F434" s="1">
        <v>13.312</v>
      </c>
      <c r="G434" s="1">
        <v>12.614</v>
      </c>
      <c r="H434" s="1">
        <v>10.939</v>
      </c>
      <c r="I434" s="1">
        <v>8.35</v>
      </c>
      <c r="J434" s="1">
        <v>11.252</v>
      </c>
      <c r="K434" s="1">
        <v>730080</v>
      </c>
      <c r="L434" s="1">
        <v>730094</v>
      </c>
      <c r="M434" s="2">
        <f t="shared" si="54"/>
        <v>1.00001917598071</v>
      </c>
      <c r="N434" s="1">
        <v>829016</v>
      </c>
      <c r="O434" s="2">
        <f t="shared" si="55"/>
        <v>1.13551391628315</v>
      </c>
      <c r="P434" s="1">
        <v>393466</v>
      </c>
      <c r="Q434" s="2">
        <f t="shared" si="60"/>
        <v>0.538935459127767</v>
      </c>
      <c r="S434" s="1">
        <f t="shared" si="59"/>
        <v>1.14580829326923</v>
      </c>
      <c r="T434" s="1">
        <f t="shared" si="56"/>
        <v>1.20921198668147</v>
      </c>
      <c r="U434" s="1">
        <f t="shared" si="61"/>
        <v>1.39436877228266</v>
      </c>
      <c r="V434" s="1">
        <f t="shared" si="62"/>
        <v>1.82670658682635</v>
      </c>
      <c r="W434" s="1">
        <f t="shared" si="58"/>
        <v>1.35558123000355</v>
      </c>
    </row>
    <row r="435" spans="1:23">
      <c r="A435" s="1" t="s">
        <v>452</v>
      </c>
      <c r="B435" s="1">
        <v>14454</v>
      </c>
      <c r="C435" s="1">
        <v>14454</v>
      </c>
      <c r="D435" s="1">
        <v>147972</v>
      </c>
      <c r="E435" s="1">
        <v>2.828</v>
      </c>
      <c r="F435" s="1">
        <v>3.216</v>
      </c>
      <c r="G435" s="1">
        <v>2.583</v>
      </c>
      <c r="H435" s="1">
        <v>2.76</v>
      </c>
      <c r="I435" s="1">
        <v>1.988</v>
      </c>
      <c r="J435" s="1">
        <v>2.536</v>
      </c>
      <c r="K435" s="1">
        <v>147972</v>
      </c>
      <c r="L435" s="1">
        <v>154048</v>
      </c>
      <c r="M435" s="2">
        <f t="shared" ref="M435:M445" si="63">L435/K435</f>
        <v>1.04106182250696</v>
      </c>
      <c r="N435" s="1">
        <v>209424</v>
      </c>
      <c r="O435" s="2">
        <f t="shared" si="55"/>
        <v>1.41529478549996</v>
      </c>
      <c r="P435" s="1">
        <v>89132</v>
      </c>
      <c r="Q435" s="2">
        <f t="shared" si="60"/>
        <v>0.602357202714027</v>
      </c>
      <c r="S435" s="1">
        <f t="shared" si="59"/>
        <v>0.879353233830846</v>
      </c>
      <c r="T435" s="1">
        <f t="shared" si="56"/>
        <v>1.09485094850949</v>
      </c>
      <c r="U435" s="1">
        <f t="shared" si="61"/>
        <v>1.02463768115942</v>
      </c>
      <c r="V435" s="1">
        <f t="shared" si="62"/>
        <v>1.42253521126761</v>
      </c>
      <c r="W435" s="1">
        <f t="shared" si="58"/>
        <v>1.11514195583596</v>
      </c>
    </row>
    <row r="436" spans="1:23">
      <c r="A436" s="1" t="s">
        <v>453</v>
      </c>
      <c r="B436" s="1">
        <v>22967</v>
      </c>
      <c r="C436" s="1">
        <v>22967</v>
      </c>
      <c r="D436" s="1">
        <v>87760</v>
      </c>
      <c r="E436" s="1">
        <v>2.382</v>
      </c>
      <c r="F436" s="1">
        <v>3.738</v>
      </c>
      <c r="G436" s="1">
        <v>1.714</v>
      </c>
      <c r="H436" s="1">
        <v>2.732</v>
      </c>
      <c r="I436" s="1">
        <v>2.12</v>
      </c>
      <c r="J436" s="1">
        <v>1.925</v>
      </c>
      <c r="K436" s="1">
        <v>87760</v>
      </c>
      <c r="L436" s="1">
        <v>87776</v>
      </c>
      <c r="M436" s="2">
        <f t="shared" si="63"/>
        <v>1.00018231540565</v>
      </c>
      <c r="N436" s="1">
        <v>138112</v>
      </c>
      <c r="O436" s="2">
        <f t="shared" si="55"/>
        <v>1.57374658158614</v>
      </c>
      <c r="P436" s="1">
        <v>76738</v>
      </c>
      <c r="Q436" s="2">
        <f t="shared" si="60"/>
        <v>0.874407474931632</v>
      </c>
      <c r="S436" s="1">
        <f t="shared" si="59"/>
        <v>0.637239165329053</v>
      </c>
      <c r="T436" s="1">
        <f t="shared" si="56"/>
        <v>1.38973162193699</v>
      </c>
      <c r="U436" s="1">
        <f t="shared" si="61"/>
        <v>0.871888726207906</v>
      </c>
      <c r="V436" s="1">
        <f t="shared" si="62"/>
        <v>1.12358490566038</v>
      </c>
      <c r="W436" s="1">
        <f t="shared" si="58"/>
        <v>1.2374025974026</v>
      </c>
    </row>
    <row r="437" spans="1:23">
      <c r="A437" s="1" t="s">
        <v>454</v>
      </c>
      <c r="B437" s="1">
        <v>12992</v>
      </c>
      <c r="C437" s="1">
        <v>12992</v>
      </c>
      <c r="D437" s="1">
        <v>49365</v>
      </c>
      <c r="E437" s="1">
        <v>1.301</v>
      </c>
      <c r="F437" s="1">
        <v>2.073</v>
      </c>
      <c r="G437" s="1">
        <v>0.914</v>
      </c>
      <c r="H437" s="1">
        <v>1.457</v>
      </c>
      <c r="I437" s="1">
        <v>1.079</v>
      </c>
      <c r="J437" s="1">
        <v>1.014</v>
      </c>
      <c r="K437" s="1">
        <v>49365</v>
      </c>
      <c r="L437" s="1">
        <v>49372</v>
      </c>
      <c r="M437" s="2">
        <f t="shared" si="63"/>
        <v>1.00014180087106</v>
      </c>
      <c r="N437" s="1">
        <v>77688</v>
      </c>
      <c r="O437" s="2">
        <f t="shared" si="55"/>
        <v>1.57374658158614</v>
      </c>
      <c r="P437" s="1">
        <v>43110</v>
      </c>
      <c r="Q437" s="2">
        <f t="shared" si="60"/>
        <v>0.873290793072015</v>
      </c>
      <c r="S437" s="1">
        <f t="shared" si="59"/>
        <v>0.627592860588519</v>
      </c>
      <c r="T437" s="1">
        <f t="shared" si="56"/>
        <v>1.42341356673961</v>
      </c>
      <c r="U437" s="1">
        <f t="shared" si="61"/>
        <v>0.89293067947838</v>
      </c>
      <c r="V437" s="1">
        <f t="shared" si="62"/>
        <v>1.20574606116775</v>
      </c>
      <c r="W437" s="1">
        <f t="shared" si="58"/>
        <v>1.28303747534517</v>
      </c>
    </row>
    <row r="438" spans="1:23">
      <c r="A438" s="1" t="s">
        <v>455</v>
      </c>
      <c r="B438" s="1">
        <v>189924</v>
      </c>
      <c r="C438" s="1">
        <v>189924</v>
      </c>
      <c r="D438" s="1">
        <v>1690876</v>
      </c>
      <c r="E438" s="1">
        <v>38.443</v>
      </c>
      <c r="F438" s="1">
        <v>41.756</v>
      </c>
      <c r="G438" s="1">
        <v>37.104</v>
      </c>
      <c r="H438" s="1">
        <v>53.722</v>
      </c>
      <c r="I438" s="1">
        <v>60.026</v>
      </c>
      <c r="J438" s="1">
        <v>43.801</v>
      </c>
      <c r="K438" s="1">
        <v>1690876</v>
      </c>
      <c r="L438" s="1">
        <v>1691466</v>
      </c>
      <c r="M438" s="2">
        <f t="shared" si="63"/>
        <v>1.00034893155974</v>
      </c>
      <c r="N438" s="1">
        <v>2596638</v>
      </c>
      <c r="O438" s="2">
        <f t="shared" si="55"/>
        <v>1.53567618205001</v>
      </c>
      <c r="P438" s="1">
        <v>1298798</v>
      </c>
      <c r="Q438" s="2">
        <f t="shared" si="60"/>
        <v>0.768121376138759</v>
      </c>
      <c r="S438" s="1">
        <f t="shared" si="59"/>
        <v>0.920658109014273</v>
      </c>
      <c r="T438" s="1">
        <f t="shared" si="56"/>
        <v>1.03608775334196</v>
      </c>
      <c r="U438" s="1">
        <f t="shared" si="61"/>
        <v>0.715591377834034</v>
      </c>
      <c r="V438" s="1">
        <f t="shared" si="62"/>
        <v>0.640439143038017</v>
      </c>
      <c r="W438" s="1">
        <f t="shared" si="58"/>
        <v>0.877674025707176</v>
      </c>
    </row>
    <row r="439" spans="1:23">
      <c r="A439" s="1" t="s">
        <v>456</v>
      </c>
      <c r="B439" s="1">
        <v>11000</v>
      </c>
      <c r="C439" s="1">
        <v>11000</v>
      </c>
      <c r="D439" s="1">
        <v>81112</v>
      </c>
      <c r="E439" s="1">
        <v>1.823</v>
      </c>
      <c r="F439" s="1">
        <v>2.072</v>
      </c>
      <c r="G439" s="1">
        <v>1.396</v>
      </c>
      <c r="H439" s="1">
        <v>2.391</v>
      </c>
      <c r="I439" s="1">
        <v>2.529</v>
      </c>
      <c r="J439" s="1">
        <v>1.896</v>
      </c>
      <c r="K439" s="1">
        <v>81112</v>
      </c>
      <c r="L439" s="1">
        <v>81312</v>
      </c>
      <c r="M439" s="2">
        <f t="shared" si="63"/>
        <v>1.002465726403</v>
      </c>
      <c r="N439" s="1">
        <v>159346</v>
      </c>
      <c r="O439" s="2">
        <f t="shared" si="55"/>
        <v>1.96451819706085</v>
      </c>
      <c r="P439" s="1">
        <v>89770</v>
      </c>
      <c r="Q439" s="2">
        <f t="shared" si="60"/>
        <v>1.1067412959858</v>
      </c>
      <c r="S439" s="1">
        <f t="shared" si="59"/>
        <v>0.879826254826255</v>
      </c>
      <c r="T439" s="1">
        <f t="shared" si="56"/>
        <v>1.30587392550143</v>
      </c>
      <c r="U439" s="1">
        <f t="shared" si="61"/>
        <v>0.762442492680887</v>
      </c>
      <c r="V439" s="1">
        <f t="shared" si="62"/>
        <v>0.720838275998418</v>
      </c>
      <c r="W439" s="1">
        <f t="shared" si="58"/>
        <v>0.961497890295359</v>
      </c>
    </row>
    <row r="440" spans="1:23">
      <c r="A440" s="1" t="s">
        <v>457</v>
      </c>
      <c r="B440" s="1">
        <v>47072</v>
      </c>
      <c r="C440" s="1">
        <v>47072</v>
      </c>
      <c r="D440" s="1">
        <v>2336898</v>
      </c>
      <c r="E440" s="1">
        <v>48.931</v>
      </c>
      <c r="F440" s="1">
        <v>37.606</v>
      </c>
      <c r="G440" s="1">
        <v>39.351</v>
      </c>
      <c r="H440" s="1">
        <v>31.269</v>
      </c>
      <c r="I440" s="1">
        <v>26.045</v>
      </c>
      <c r="J440" s="1">
        <v>28.788</v>
      </c>
      <c r="K440" s="1">
        <v>2336898</v>
      </c>
      <c r="L440" s="1">
        <v>2340668</v>
      </c>
      <c r="M440" s="2">
        <f t="shared" si="63"/>
        <v>1.0016132497011</v>
      </c>
      <c r="N440" s="1">
        <v>2410988</v>
      </c>
      <c r="O440" s="2">
        <f t="shared" si="55"/>
        <v>1.03170442184468</v>
      </c>
      <c r="P440" s="1">
        <v>1225218</v>
      </c>
      <c r="Q440" s="2">
        <f t="shared" si="60"/>
        <v>0.524292459491172</v>
      </c>
      <c r="S440" s="1">
        <f t="shared" si="59"/>
        <v>1.30114875285859</v>
      </c>
      <c r="T440" s="1">
        <f t="shared" si="56"/>
        <v>1.2434499758583</v>
      </c>
      <c r="U440" s="1">
        <f t="shared" si="61"/>
        <v>1.56484057692923</v>
      </c>
      <c r="V440" s="1">
        <f t="shared" si="62"/>
        <v>1.87870992512958</v>
      </c>
      <c r="W440" s="1">
        <f t="shared" si="58"/>
        <v>1.69970126441573</v>
      </c>
    </row>
    <row r="441" spans="1:23">
      <c r="A441" s="1" t="s">
        <v>458</v>
      </c>
      <c r="B441" s="1">
        <v>12328</v>
      </c>
      <c r="C441" s="1">
        <v>12328</v>
      </c>
      <c r="D441" s="1">
        <v>342828</v>
      </c>
      <c r="E441" s="1">
        <v>6.428</v>
      </c>
      <c r="F441" s="1">
        <v>5.57</v>
      </c>
      <c r="G441" s="1">
        <v>5.461</v>
      </c>
      <c r="H441" s="1">
        <v>7.764</v>
      </c>
      <c r="I441" s="1">
        <v>4.397</v>
      </c>
      <c r="J441" s="1">
        <v>4.902</v>
      </c>
      <c r="K441" s="1">
        <v>342828</v>
      </c>
      <c r="L441" s="1">
        <v>343258</v>
      </c>
      <c r="M441" s="2">
        <f t="shared" si="63"/>
        <v>1.0012542732799</v>
      </c>
      <c r="N441" s="1">
        <v>629616</v>
      </c>
      <c r="O441" s="2">
        <f t="shared" si="55"/>
        <v>1.83653610556897</v>
      </c>
      <c r="P441" s="1">
        <v>208870</v>
      </c>
      <c r="Q441" s="2">
        <f t="shared" si="60"/>
        <v>0.609255953422708</v>
      </c>
      <c r="S441" s="1">
        <f t="shared" si="59"/>
        <v>1.154039497307</v>
      </c>
      <c r="T441" s="1">
        <f t="shared" si="56"/>
        <v>1.17707379600806</v>
      </c>
      <c r="U441" s="1">
        <f t="shared" si="61"/>
        <v>0.827923750643998</v>
      </c>
      <c r="V441" s="1">
        <f t="shared" si="62"/>
        <v>1.46190584489425</v>
      </c>
      <c r="W441" s="1">
        <f t="shared" si="58"/>
        <v>1.31130150958792</v>
      </c>
    </row>
    <row r="442" spans="1:23">
      <c r="A442" s="1" t="s">
        <v>459</v>
      </c>
      <c r="B442" s="1">
        <v>30401</v>
      </c>
      <c r="C442" s="1">
        <v>30401</v>
      </c>
      <c r="D442" s="1">
        <v>471601</v>
      </c>
      <c r="E442" s="1">
        <v>9.098</v>
      </c>
      <c r="F442" s="1">
        <v>8.574</v>
      </c>
      <c r="G442" s="1">
        <v>7.813</v>
      </c>
      <c r="H442" s="1">
        <v>8.174</v>
      </c>
      <c r="I442" s="1">
        <v>6.091</v>
      </c>
      <c r="J442" s="1">
        <v>7.319</v>
      </c>
      <c r="K442" s="1">
        <v>471601</v>
      </c>
      <c r="L442" s="1">
        <v>471930</v>
      </c>
      <c r="M442" s="2">
        <f t="shared" si="63"/>
        <v>1.00069762362675</v>
      </c>
      <c r="N442" s="1">
        <v>582002</v>
      </c>
      <c r="O442" s="2">
        <f t="shared" si="55"/>
        <v>1.23409831616133</v>
      </c>
      <c r="P442" s="1">
        <v>281200</v>
      </c>
      <c r="Q442" s="2">
        <f t="shared" si="60"/>
        <v>0.596266759400425</v>
      </c>
      <c r="S442" s="1">
        <f t="shared" si="59"/>
        <v>1.06111499883368</v>
      </c>
      <c r="T442" s="1">
        <f t="shared" si="56"/>
        <v>1.16446947395367</v>
      </c>
      <c r="U442" s="1">
        <f t="shared" si="61"/>
        <v>1.11304135062393</v>
      </c>
      <c r="V442" s="1">
        <f t="shared" si="62"/>
        <v>1.49367919881793</v>
      </c>
      <c r="W442" s="1">
        <f t="shared" si="58"/>
        <v>1.24306599262194</v>
      </c>
    </row>
    <row r="443" spans="1:23">
      <c r="A443" s="1" t="s">
        <v>460</v>
      </c>
      <c r="B443" s="1">
        <v>36441</v>
      </c>
      <c r="C443" s="1">
        <v>36441</v>
      </c>
      <c r="D443" s="1">
        <v>565761</v>
      </c>
      <c r="E443" s="1">
        <v>10.591</v>
      </c>
      <c r="F443" s="1">
        <v>10.133</v>
      </c>
      <c r="G443" s="1">
        <v>9.629</v>
      </c>
      <c r="H443" s="1">
        <v>9.509</v>
      </c>
      <c r="I443" s="1">
        <v>7.733</v>
      </c>
      <c r="J443" s="1">
        <v>8.733</v>
      </c>
      <c r="K443" s="1">
        <v>565761</v>
      </c>
      <c r="L443" s="1">
        <v>566152</v>
      </c>
      <c r="M443" s="2">
        <f t="shared" si="63"/>
        <v>1.00069110454768</v>
      </c>
      <c r="N443" s="1">
        <v>698202</v>
      </c>
      <c r="O443" s="2">
        <f t="shared" si="55"/>
        <v>1.23409354833578</v>
      </c>
      <c r="P443" s="1">
        <v>337320</v>
      </c>
      <c r="Q443" s="2">
        <f t="shared" si="60"/>
        <v>0.596223493666053</v>
      </c>
      <c r="S443" s="1">
        <f t="shared" si="59"/>
        <v>1.0451988552255</v>
      </c>
      <c r="T443" s="1">
        <f t="shared" si="56"/>
        <v>1.09990653235019</v>
      </c>
      <c r="U443" s="1">
        <f t="shared" si="61"/>
        <v>1.11378693868966</v>
      </c>
      <c r="V443" s="1">
        <f t="shared" si="62"/>
        <v>1.36958489590069</v>
      </c>
      <c r="W443" s="1">
        <f t="shared" si="58"/>
        <v>1.21275621206916</v>
      </c>
    </row>
    <row r="444" spans="1:23">
      <c r="A444" s="1" t="s">
        <v>461</v>
      </c>
      <c r="B444" s="1">
        <v>20055</v>
      </c>
      <c r="C444" s="1">
        <v>20055</v>
      </c>
      <c r="D444" s="1">
        <v>240826</v>
      </c>
      <c r="E444" s="1">
        <v>4.728</v>
      </c>
      <c r="F444" s="1">
        <v>4.916</v>
      </c>
      <c r="G444" s="1">
        <v>3.984</v>
      </c>
      <c r="H444" s="1">
        <v>6.595</v>
      </c>
      <c r="I444" s="1">
        <v>6.381</v>
      </c>
      <c r="J444" s="1">
        <v>4.826</v>
      </c>
      <c r="K444" s="1">
        <v>240826</v>
      </c>
      <c r="L444" s="1">
        <v>240984</v>
      </c>
      <c r="M444" s="2">
        <f t="shared" si="63"/>
        <v>1.0006560753407</v>
      </c>
      <c r="N444" s="1">
        <v>455648</v>
      </c>
      <c r="O444" s="2">
        <f t="shared" si="55"/>
        <v>1.89202162557199</v>
      </c>
      <c r="P444" s="1">
        <v>240152</v>
      </c>
      <c r="Q444" s="2">
        <f t="shared" si="60"/>
        <v>0.99720129886308</v>
      </c>
      <c r="S444" s="1">
        <f t="shared" si="59"/>
        <v>0.961757526444263</v>
      </c>
      <c r="T444" s="1">
        <f t="shared" si="56"/>
        <v>1.18674698795181</v>
      </c>
      <c r="U444" s="1">
        <f t="shared" si="61"/>
        <v>0.716906747536012</v>
      </c>
      <c r="V444" s="1">
        <f t="shared" si="62"/>
        <v>0.740949694405266</v>
      </c>
      <c r="W444" s="1">
        <f t="shared" si="58"/>
        <v>0.979693327807708</v>
      </c>
    </row>
    <row r="445" spans="1:23">
      <c r="A445" s="1" t="s">
        <v>462</v>
      </c>
      <c r="B445" s="1">
        <v>108384</v>
      </c>
      <c r="C445" s="1">
        <v>108384</v>
      </c>
      <c r="D445" s="1">
        <v>10167624</v>
      </c>
      <c r="E445" s="1">
        <v>263.604</v>
      </c>
      <c r="F445" s="1">
        <v>213.53</v>
      </c>
      <c r="G445" s="1">
        <v>217.356</v>
      </c>
      <c r="H445" s="1">
        <v>142.985</v>
      </c>
      <c r="I445" s="1">
        <v>123.673</v>
      </c>
      <c r="J445" s="1">
        <v>116.436</v>
      </c>
      <c r="K445" s="1">
        <v>10167624</v>
      </c>
      <c r="L445" s="1">
        <v>10167624</v>
      </c>
      <c r="M445" s="2">
        <f t="shared" si="63"/>
        <v>1</v>
      </c>
      <c r="N445" s="1">
        <v>10167624</v>
      </c>
      <c r="O445" s="2">
        <f t="shared" si="55"/>
        <v>1</v>
      </c>
      <c r="P445" s="1">
        <v>5192196</v>
      </c>
      <c r="Q445" s="2">
        <f t="shared" si="60"/>
        <v>0.510659717550531</v>
      </c>
      <c r="S445" s="1">
        <f t="shared" si="59"/>
        <v>1.23450569006697</v>
      </c>
      <c r="T445" s="1">
        <f t="shared" si="56"/>
        <v>1.21277535471761</v>
      </c>
      <c r="U445" s="1">
        <f t="shared" si="61"/>
        <v>1.84357799769207</v>
      </c>
      <c r="V445" s="1">
        <f t="shared" si="62"/>
        <v>2.13145957484657</v>
      </c>
      <c r="W445" s="1">
        <f t="shared" si="58"/>
        <v>2.26393898794187</v>
      </c>
    </row>
    <row r="447" spans="1:23">
      <c r="K447" s="5" t="s">
        <v>463</v>
      </c>
      <c r="S447" s="1" t="s">
        <v>464</v>
      </c>
    </row>
    <row r="448" spans="1:23">
      <c r="K448" s="1" t="s">
        <v>14</v>
      </c>
      <c r="M448" s="2" t="s">
        <v>15</v>
      </c>
      <c r="O448" s="2" t="s">
        <v>16</v>
      </c>
      <c r="Q448" s="2" t="s">
        <v>17</v>
      </c>
      <c r="S448" s="1" t="s">
        <v>14</v>
      </c>
      <c r="T448" s="1" t="s">
        <v>15</v>
      </c>
      <c r="U448" s="1" t="s">
        <v>16</v>
      </c>
      <c r="V448" s="1" t="s">
        <v>17</v>
      </c>
      <c r="W448" s="1" t="s">
        <v>18</v>
      </c>
    </row>
    <row r="449" spans="11:23">
      <c r="K449" s="1">
        <v>1</v>
      </c>
      <c r="M449" s="2">
        <f>AVERAGE(M2:M445)</f>
        <v>1.00626138678682</v>
      </c>
      <c r="O449" s="2">
        <f>AVERAGE(O2:O445)</f>
        <v>1.38473174929139</v>
      </c>
      <c r="Q449" s="2">
        <f>AVERAGE(Q2:Q445)</f>
        <v>0.631948066411527</v>
      </c>
      <c r="S449" s="1">
        <f>AVERAGE(S2:S445)</f>
        <v>1.08351144643366</v>
      </c>
      <c r="T449" s="1">
        <f>AVERAGE(T2:T445)</f>
        <v>1.19271307744805</v>
      </c>
      <c r="U449" s="1">
        <f>AVERAGE(U2:U445)</f>
        <v>1.10081596801058</v>
      </c>
      <c r="V449" s="1">
        <f>AVERAGE(V2:V445)</f>
        <v>1.51932606586333</v>
      </c>
      <c r="W449" s="1">
        <f>AVERAGE(W2:W445)</f>
        <v>1.38551948915621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杜沁0621</cp:lastModifiedBy>
  <dcterms:created xsi:type="dcterms:W3CDTF">2026-09-29T08:37:00Z</dcterms:created>
  <dcterms:modified xsi:type="dcterms:W3CDTF">2026-09-29T10:35:36Z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5F967BED446F4FA4B5296C36F3AB6AD1_12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