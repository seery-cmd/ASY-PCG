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CLionProjects\neon_spmv\src\log\picture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<sst xmlns="http://schemas.openxmlformats.org/spreadsheetml/2006/main" count="474" uniqueCount="465">
  <si>
    <t>matrix</t>
  </si>
  <si>
    <t>rows</t>
  </si>
  <si>
    <t>cols</t>
  </si>
  <si>
    <t>nnz</t>
  </si>
  <si>
    <t>time_csr_cpu</t>
  </si>
  <si>
    <t>time_csr_neon</t>
  </si>
  <si>
    <t>time_ell_neon</t>
  </si>
  <si>
    <t>time_ascr_neon</t>
  </si>
  <si>
    <t>time_sy_neon</t>
  </si>
  <si>
    <t>time_kml</t>
  </si>
  <si>
    <t>nnz_csr</t>
  </si>
  <si>
    <t>nnz_ell</t>
  </si>
  <si>
    <t>nnz_acsr</t>
  </si>
  <si>
    <t>nnz_sy</t>
  </si>
  <si>
    <t>CSR</t>
  </si>
  <si>
    <t>ELL</t>
  </si>
  <si>
    <t>ACSR</t>
  </si>
  <si>
    <t>SY</t>
  </si>
  <si>
    <t>KML</t>
  </si>
  <si>
    <t>2cubes_sphere/2cubes_sphere.mtx</t>
  </si>
  <si>
    <t>a0nsdsil/a0nsdsil.mtx</t>
  </si>
  <si>
    <t>a2nnsnsl/a2nnsnsl.mtx</t>
  </si>
  <si>
    <t>a5esindl/a5esindl.mtx</t>
  </si>
  <si>
    <t>ACTIVSg70K/ACTIVSg70K.mtx</t>
  </si>
  <si>
    <t>af_0_k101/af_0_k101.mtx</t>
  </si>
  <si>
    <t>af_1_k101/af_1_k101.mtx</t>
  </si>
  <si>
    <t>af_2_k101/af_2_k101.mtx</t>
  </si>
  <si>
    <t>af_3_k101/af_3_k101.mtx</t>
  </si>
  <si>
    <t>af_4_k101/af_4_k101.mtx</t>
  </si>
  <si>
    <t>af_5_k101/af_5_k101.mtx</t>
  </si>
  <si>
    <t>af_shell1/af_shell1.mtx</t>
  </si>
  <si>
    <t>af_shell10/af_shell10.mtx</t>
  </si>
  <si>
    <t>af_shell2/af_shell2.mtx</t>
  </si>
  <si>
    <t>af_shell3/af_shell3.mtx</t>
  </si>
  <si>
    <t>af_shell4/af_shell4.mtx</t>
  </si>
  <si>
    <t>af_shell5/af_shell5.mtx</t>
  </si>
  <si>
    <t>af_shell6/af_shell6.mtx</t>
  </si>
  <si>
    <t>af_shell7/af_shell7.mtx</t>
  </si>
  <si>
    <t>af_shell8/af_shell8.mtx</t>
  </si>
  <si>
    <t>af_shell9/af_shell9.mtx</t>
  </si>
  <si>
    <t>aft01/aft01.mtx</t>
  </si>
  <si>
    <t>analytics/analytics.mtx</t>
  </si>
  <si>
    <t>apache1/apache1.mtx</t>
  </si>
  <si>
    <t>apache2/apache2.mtx</t>
  </si>
  <si>
    <t>astro-ph/astro-ph.mtx</t>
  </si>
  <si>
    <t>audikw_1/audikw_1.mtx</t>
  </si>
  <si>
    <t>aug3dcqp/aug3dcqp.mtx</t>
  </si>
  <si>
    <t>bcsstk15/bcsstk15.mtx</t>
  </si>
  <si>
    <t>bcsstk16/bcsstk16.mtx</t>
  </si>
  <si>
    <t>bcsstk17/bcsstk17.mtx</t>
  </si>
  <si>
    <t>bcsstk18/bcsstk18.mtx</t>
  </si>
  <si>
    <t>bcsstk21/bcsstk21.mtx</t>
  </si>
  <si>
    <t>bcsstk23/bcsstk23.mtx</t>
  </si>
  <si>
    <t>bcsstk24/bcsstk24.mtx</t>
  </si>
  <si>
    <t>bcsstk25/bcsstk25.mtx</t>
  </si>
  <si>
    <t>bcsstk28/bcsstk28.mtx</t>
  </si>
  <si>
    <t>bcsstk35/bcsstk35.mtx</t>
  </si>
  <si>
    <t>bcsstk36/bcsstk36.mtx</t>
  </si>
  <si>
    <t>bcsstk37/bcsstk37.mtx</t>
  </si>
  <si>
    <t>bcsstk38/bcsstk38.mtx</t>
  </si>
  <si>
    <t>bcsstk39/bcsstk39.mtx</t>
  </si>
  <si>
    <t>bcsstm21/bcsstm21.mtx</t>
  </si>
  <si>
    <t>bcsstm23/bcsstm23.mtx</t>
  </si>
  <si>
    <t>bcsstm24/bcsstm24.mtx</t>
  </si>
  <si>
    <t>bcsstm25/bcsstm25.mtx</t>
  </si>
  <si>
    <t>bcsstm35/bcsstm35.mtx</t>
  </si>
  <si>
    <t>bcsstm36/bcsstm36.mtx</t>
  </si>
  <si>
    <t>bcsstm37/bcsstm37.mtx</t>
  </si>
  <si>
    <t>bcsstm38/bcsstm38.mtx</t>
  </si>
  <si>
    <t>bcsstm39/bcsstm39.mtx</t>
  </si>
  <si>
    <t>BenElechi1/BenElechi1.mtx</t>
  </si>
  <si>
    <t>benzene/benzene.mtx</t>
  </si>
  <si>
    <t>blockqp1/blockqp1.mtx</t>
  </si>
  <si>
    <t>bloweya/bloweya.mtx</t>
  </si>
  <si>
    <t>bloweybl/bloweybl.mtx</t>
  </si>
  <si>
    <t>bloweybq/bloweybq.mtx</t>
  </si>
  <si>
    <t>bmw3_2/bmw3_2.mtx</t>
  </si>
  <si>
    <t>bmw7st_1/bmw7st_1.mtx</t>
  </si>
  <si>
    <t>bmwcra_1/bmwcra_1.mtx</t>
  </si>
  <si>
    <t>bodyy4/bodyy4.mtx</t>
  </si>
  <si>
    <t>bodyy5/bodyy5.mtx</t>
  </si>
  <si>
    <t>bodyy6/bodyy6.mtx</t>
  </si>
  <si>
    <t>bone010/bone010.mtx</t>
  </si>
  <si>
    <t>boneS01/boneS01.mtx</t>
  </si>
  <si>
    <t>boneS10/boneS10.mtx</t>
  </si>
  <si>
    <t>boyd1/boyd1.mtx</t>
  </si>
  <si>
    <t>boyd2/boyd2.mtx</t>
  </si>
  <si>
    <t>brainpc2/brainpc2.mtx</t>
  </si>
  <si>
    <t>bratu3d/bratu3d.mtx</t>
  </si>
  <si>
    <t>Bump_2911/Bump_2911.mtx</t>
  </si>
  <si>
    <t>bundle1/bundle1.mtx</t>
  </si>
  <si>
    <t>bundle_adj/bundle_adj.mtx</t>
  </si>
  <si>
    <t>c-21/c-21.mtx</t>
  </si>
  <si>
    <t>c-22/c-22.mtx</t>
  </si>
  <si>
    <t>c-23/c-23.mtx</t>
  </si>
  <si>
    <t>c-24/c-24.mtx</t>
  </si>
  <si>
    <t>c-25/c-25.mtx</t>
  </si>
  <si>
    <t>c-26/c-26.mtx</t>
  </si>
  <si>
    <t>c-27/c-27.mtx</t>
  </si>
  <si>
    <t>c-28/c-28.mtx</t>
  </si>
  <si>
    <t>c-29/c-29.mtx</t>
  </si>
  <si>
    <t>c-30/c-30.mtx</t>
  </si>
  <si>
    <t>c-31/c-31.mtx</t>
  </si>
  <si>
    <t>c-32/c-32.mtx</t>
  </si>
  <si>
    <t>c-33/c-33.mtx</t>
  </si>
  <si>
    <t>c-34/c-34.mtx</t>
  </si>
  <si>
    <t>c-35/c-35.mtx</t>
  </si>
  <si>
    <t>c-36/c-36.mtx</t>
  </si>
  <si>
    <t>c-37/c-37.mtx</t>
  </si>
  <si>
    <t>c-38/c-38.mtx</t>
  </si>
  <si>
    <t>c-39/c-39.mtx</t>
  </si>
  <si>
    <t>c-40/c-40.mtx</t>
  </si>
  <si>
    <t>c-41/c-41.mtx</t>
  </si>
  <si>
    <t>c-42/c-42.mtx</t>
  </si>
  <si>
    <t>c-43/c-43.mtx</t>
  </si>
  <si>
    <t>c-44/c-44.mtx</t>
  </si>
  <si>
    <t>c-45/c-45.mtx</t>
  </si>
  <si>
    <t>c-46/c-46.mtx</t>
  </si>
  <si>
    <t>c-47/c-47.mtx</t>
  </si>
  <si>
    <t>c-48/c-48.mtx</t>
  </si>
  <si>
    <t>c-49/c-49.mtx</t>
  </si>
  <si>
    <t>c-50/c-50.mtx</t>
  </si>
  <si>
    <t>c-51/c-51.mtx</t>
  </si>
  <si>
    <t>c-52/c-52.mtx</t>
  </si>
  <si>
    <t>c-53/c-53.mtx</t>
  </si>
  <si>
    <t>c-54/c-54.mtx</t>
  </si>
  <si>
    <t>c-55/c-55.mtx</t>
  </si>
  <si>
    <t>c-56/c-56.mtx</t>
  </si>
  <si>
    <t>c-57/c-57.mtx</t>
  </si>
  <si>
    <t>c-58/c-58.mtx</t>
  </si>
  <si>
    <t>c-59/c-59.mtx</t>
  </si>
  <si>
    <t>c-60/c-60.mtx</t>
  </si>
  <si>
    <t>c-61/c-61.mtx</t>
  </si>
  <si>
    <t>c-62/c-62.mtx</t>
  </si>
  <si>
    <t>c-62ghs/c-62ghs.mtx</t>
  </si>
  <si>
    <t>c-63/c-63.mtx</t>
  </si>
  <si>
    <t>c-64/c-64.mtx</t>
  </si>
  <si>
    <t>c-64b/c-64b.mtx</t>
  </si>
  <si>
    <t>c-65/c-65.mtx</t>
  </si>
  <si>
    <t>c-66/c-66.mtx</t>
  </si>
  <si>
    <t>c-66b/c-66b.mtx</t>
  </si>
  <si>
    <t>c-67/c-67.mtx</t>
  </si>
  <si>
    <t>c-67b/c-67b.mtx</t>
  </si>
  <si>
    <t>c-68/c-68.mtx</t>
  </si>
  <si>
    <t>c-69/c-69.mtx</t>
  </si>
  <si>
    <t>c-70/c-70.mtx</t>
  </si>
  <si>
    <t>c-71/c-71.mtx</t>
  </si>
  <si>
    <t>c-72/c-72.mtx</t>
  </si>
  <si>
    <t>c-73/c-73.mtx</t>
  </si>
  <si>
    <t>c-73b/c-73b.mtx</t>
  </si>
  <si>
    <t>cant/cant.mtx</t>
  </si>
  <si>
    <t>case39/case39.mtx</t>
  </si>
  <si>
    <t>case9/case9.mtx</t>
  </si>
  <si>
    <t>c-big/c-big.mtx</t>
  </si>
  <si>
    <t>cbuckle/cbuckle.mtx</t>
  </si>
  <si>
    <t>cfd1/cfd1.mtx</t>
  </si>
  <si>
    <t>cfd2/cfd2.mtx</t>
  </si>
  <si>
    <t>CO/CO.mtx</t>
  </si>
  <si>
    <t>cond-mat/cond-mat.mtx</t>
  </si>
  <si>
    <t>cond-mat-2003/cond-mat-2003.mtx</t>
  </si>
  <si>
    <t>cond-mat-2005/cond-mat-2005.mtx</t>
  </si>
  <si>
    <t>consph/consph.mtx</t>
  </si>
  <si>
    <t>cont-201/cont-201.mtx</t>
  </si>
  <si>
    <t>cont-300/cont-300.mtx</t>
  </si>
  <si>
    <t>cop20k_A/cop20k_A.mtx</t>
  </si>
  <si>
    <t>copter2_id_1230/copter2_id_1230.mtx</t>
  </si>
  <si>
    <t>crankseg_1/crankseg_1.mtx</t>
  </si>
  <si>
    <t>crankseg_2/crankseg_2.mtx</t>
  </si>
  <si>
    <t>crystk01/crystk01.mtx</t>
  </si>
  <si>
    <t>crystk02/crystk02.mtx</t>
  </si>
  <si>
    <t>crystk03/crystk03.mtx</t>
  </si>
  <si>
    <t>crystm01/crystm01.mtx</t>
  </si>
  <si>
    <t>crystm02/crystm02.mtx</t>
  </si>
  <si>
    <t>crystm03/crystm03.mtx</t>
  </si>
  <si>
    <t>ct20stif/ct20stif.mtx</t>
  </si>
  <si>
    <t>Cube_Coup_dt0/Cube_Coup_dt0.mtx</t>
  </si>
  <si>
    <t>Cube_Coup_dt6/Cube_Coup_dt6.mtx</t>
  </si>
  <si>
    <t>CurlCurl_0/CurlCurl_0.mtx</t>
  </si>
  <si>
    <t>CurlCurl_1/CurlCurl_1.mtx</t>
  </si>
  <si>
    <t>CurlCurl_2/CurlCurl_2.mtx</t>
  </si>
  <si>
    <t>CurlCurl_3/CurlCurl_3.mtx</t>
  </si>
  <si>
    <t>CurlCurl_4/CurlCurl_4.mtx</t>
  </si>
  <si>
    <t>cvxbqp1/cvxbqp1.mtx</t>
  </si>
  <si>
    <t>cvxqp3/cvxqp3.mtx</t>
  </si>
  <si>
    <t>darcy003/darcy003.mtx</t>
  </si>
  <si>
    <t>dawson5/dawson5.mtx</t>
  </si>
  <si>
    <t>denormal/denormal.mtx</t>
  </si>
  <si>
    <t>dielFilterV2real/dielFilterV2real.mtx</t>
  </si>
  <si>
    <t>dielFilterV3real/dielFilterV3real.mtx</t>
  </si>
  <si>
    <t>dixmaanl/dixmaanl.mtx</t>
  </si>
  <si>
    <t>d_pretok/d_pretok.mtx</t>
  </si>
  <si>
    <t>dtoc/dtoc.mtx</t>
  </si>
  <si>
    <t>Dubcova1/Dubcova1.mtx</t>
  </si>
  <si>
    <t>Dubcova2/Dubcova2.mtx</t>
  </si>
  <si>
    <t>Dubcova3/Dubcova3.mtx</t>
  </si>
  <si>
    <t>dynamicSoaringProblem_4/dynamicSoaringProblem_4.mtx</t>
  </si>
  <si>
    <t>dynamicSoaringProblem_5/dynamicSoaringProblem_5.mtx</t>
  </si>
  <si>
    <t>dynamicSoaringProblem_6/dynamicSoaringProblem_6.mtx</t>
  </si>
  <si>
    <t>dynamicSoaringProblem_7/dynamicSoaringProblem_7.mtx</t>
  </si>
  <si>
    <t>dynamicSoaringProblem_8/dynamicSoaringProblem_8.mtx</t>
  </si>
  <si>
    <t>ecology1/ecology1.mtx</t>
  </si>
  <si>
    <t>ecology2/ecology2.mtx</t>
  </si>
  <si>
    <t>Emilia_923/Emilia_923.mtx</t>
  </si>
  <si>
    <t>eurqsa/eurqsa.mtx</t>
  </si>
  <si>
    <t>ex12/ex12.mtx</t>
  </si>
  <si>
    <t>ex14/ex14.mtx</t>
  </si>
  <si>
    <t>ex15/ex15.mtx</t>
  </si>
  <si>
    <t>ex9/ex9.mtx</t>
  </si>
  <si>
    <t>exdata_1/exdata_1.mtx</t>
  </si>
  <si>
    <t>F1/F1.mtx</t>
  </si>
  <si>
    <t>F2/F2.mtx</t>
  </si>
  <si>
    <t>Fashion_MNIST_norm_10NN/Fashion_MNIST_norm_10NN.mtx</t>
  </si>
  <si>
    <t>Fault_639/Fault_639.mtx</t>
  </si>
  <si>
    <t>filter3D/filter3D.mtx</t>
  </si>
  <si>
    <t>finan512/finan512.mtx</t>
  </si>
  <si>
    <t>Flan_1565/Flan_1565.mtx</t>
  </si>
  <si>
    <t>flowmeter0/flowmeter0.mtx</t>
  </si>
  <si>
    <t>freeFlyingRobot_10/freeFlyingRobot_10.mtx</t>
  </si>
  <si>
    <t>freeFlyingRobot_11/freeFlyingRobot_11.mtx</t>
  </si>
  <si>
    <t>freeFlyingRobot_12/freeFlyingRobot_12.mtx</t>
  </si>
  <si>
    <t>freeFlyingRobot_13/freeFlyingRobot_13.mtx</t>
  </si>
  <si>
    <t>freeFlyingRobot_14/freeFlyingRobot_14.mtx</t>
  </si>
  <si>
    <t>freeFlyingRobot_15/freeFlyingRobot_15.mtx</t>
  </si>
  <si>
    <t>freeFlyingRobot_16/freeFlyingRobot_16.mtx</t>
  </si>
  <si>
    <t>freeFlyingRobot_6/freeFlyingRobot_6.mtx</t>
  </si>
  <si>
    <t>freeFlyingRobot_7/freeFlyingRobot_7.mtx</t>
  </si>
  <si>
    <t>freeFlyingRobot_8/freeFlyingRobot_8.mtx</t>
  </si>
  <si>
    <t>freeFlyingRobot_9/freeFlyingRobot_9.mtx</t>
  </si>
  <si>
    <t>fv1/fv1.mtx</t>
  </si>
  <si>
    <t>fv2/fv2.mtx</t>
  </si>
  <si>
    <t>fv3/fv3.mtx</t>
  </si>
  <si>
    <t>G2_circuit/G2_circuit.mtx</t>
  </si>
  <si>
    <t>G3_circuit/G3_circuit.mtx</t>
  </si>
  <si>
    <t>Ga10As10H30/Ga10As10H30.mtx</t>
  </si>
  <si>
    <t>Ga19As19H42/Ga19As19H42.mtx</t>
  </si>
  <si>
    <t>Ga3As3H12/Ga3As3H12.mtx</t>
  </si>
  <si>
    <t>Ga41As41H72/Ga41As41H72.mtx</t>
  </si>
  <si>
    <t>GaAsH6/GaAsH6.mtx</t>
  </si>
  <si>
    <t>gas_sensor/gas_sensor.mtx</t>
  </si>
  <si>
    <t>Ge87H76/Ge87H76.mtx</t>
  </si>
  <si>
    <t>Ge99H100/Ge99H100.mtx</t>
  </si>
  <si>
    <t>Geo_1438/Geo_1438.mtx</t>
  </si>
  <si>
    <t>gridgena/gridgena.mtx</t>
  </si>
  <si>
    <t>gsm_106857/gsm_106857.mtx</t>
  </si>
  <si>
    <t>gyro/gyro.mtx</t>
  </si>
  <si>
    <t>gyro_k/gyro_k.mtx</t>
  </si>
  <si>
    <t>gyro_m/gyro_m.mtx</t>
  </si>
  <si>
    <t>H2O/H2O.mtx</t>
  </si>
  <si>
    <t>hangGlider_3/hangGlider_3.mtx</t>
  </si>
  <si>
    <t>hangGlider_4/hangGlider_4.mtx</t>
  </si>
  <si>
    <t>hangGlider_5/hangGlider_5.mtx</t>
  </si>
  <si>
    <t>har_10NN/har_10NN.mtx</t>
  </si>
  <si>
    <t>helm2d03/helm2d03.mtx</t>
  </si>
  <si>
    <t>helm3d01/helm3d01.mtx</t>
  </si>
  <si>
    <t>hep-th/hep-th.mtx</t>
  </si>
  <si>
    <t>hood/hood.mtx</t>
  </si>
  <si>
    <t>Hook_1498/Hook_1498.mtx</t>
  </si>
  <si>
    <t>HTC_336_4438/HTC_336_4438.mtx</t>
  </si>
  <si>
    <t>HTC_336_9129/HTC_336_9129.mtx</t>
  </si>
  <si>
    <t>human_gene1/human_gene1.mtx</t>
  </si>
  <si>
    <t>human_gene2/human_gene2.mtx</t>
  </si>
  <si>
    <t>indianpines_10NN/indianpines_10NN.mtx</t>
  </si>
  <si>
    <t>inline_1/inline_1.mtx</t>
  </si>
  <si>
    <t>JapaneseVowelsSmall_10NN/JapaneseVowelsSmall_10NN.mtx</t>
  </si>
  <si>
    <t>jnlbrng1/jnlbrng1.mtx</t>
  </si>
  <si>
    <t>k1_san/k1_san.mtx</t>
  </si>
  <si>
    <t>k49_norm_10NN/k49_norm_10NN.mtx</t>
  </si>
  <si>
    <t>kineticBatchReactor_2/kineticBatchReactor_2.mtx</t>
  </si>
  <si>
    <t>kineticBatchReactor_3/kineticBatchReactor_3.mtx</t>
  </si>
  <si>
    <t>kineticBatchReactor_4/kineticBatchReactor_4.mtx</t>
  </si>
  <si>
    <t>kineticBatchReactor_5/kineticBatchReactor_5.mtx</t>
  </si>
  <si>
    <t>kineticBatchReactor_6/kineticBatchReactor_6.mtx</t>
  </si>
  <si>
    <t>kineticBatchReactor_7/kineticBatchReactor_7.mtx</t>
  </si>
  <si>
    <t>kineticBatchReactor_8/kineticBatchReactor_8.mtx</t>
  </si>
  <si>
    <t>kineticBatchReactor_9/kineticBatchReactor_9.mtx</t>
  </si>
  <si>
    <t>kkt_power/kkt_power.mtx</t>
  </si>
  <si>
    <t>kmnist_norm_10NN/kmnist_norm_10NN.mtx</t>
  </si>
  <si>
    <t>Kuu/Kuu.mtx</t>
  </si>
  <si>
    <t>laser/laser.mtx</t>
  </si>
  <si>
    <t>ldoor/ldoor.mtx</t>
  </si>
  <si>
    <t>LF10000/LF10000.mtx</t>
  </si>
  <si>
    <t>LFAT5000/LFAT5000.mtx</t>
  </si>
  <si>
    <t>Lin/Lin.mtx</t>
  </si>
  <si>
    <t>linverse/linverse.mtx</t>
  </si>
  <si>
    <t>Long_Coup_dt0/Long_Coup_dt0.mtx</t>
  </si>
  <si>
    <t>Long_Coup_dt6/Long_Coup_dt6.mtx</t>
  </si>
  <si>
    <t>lowThrust_10/lowThrust_10.mtx</t>
  </si>
  <si>
    <t>lowThrust_11/lowThrust_11.mtx</t>
  </si>
  <si>
    <t>lowThrust_12/lowThrust_12.mtx</t>
  </si>
  <si>
    <t>lowThrust_13/lowThrust_13.mtx</t>
  </si>
  <si>
    <t>lowThrust_3/lowThrust_3.mtx</t>
  </si>
  <si>
    <t>lowThrust_4/lowThrust_4.mtx</t>
  </si>
  <si>
    <t>lowThrust_5/lowThrust_5.mtx</t>
  </si>
  <si>
    <t>lowThrust_6/lowThrust_6.mtx</t>
  </si>
  <si>
    <t>lowThrust_7/lowThrust_7.mtx</t>
  </si>
  <si>
    <t>lowThrust_8/lowThrust_8.mtx</t>
  </si>
  <si>
    <t>lowThrust_9/lowThrust_9.mtx</t>
  </si>
  <si>
    <t>m3plates/m3plates.mtx</t>
  </si>
  <si>
    <t>mario001/mario001.mtx</t>
  </si>
  <si>
    <t>mario002/mario002.mtx</t>
  </si>
  <si>
    <t>meg4/meg4.mtx</t>
  </si>
  <si>
    <t>mhd3200b/mhd3200b.mtx</t>
  </si>
  <si>
    <t>mhd4800b/mhd4800b.mtx</t>
  </si>
  <si>
    <t>minsurfo/minsurfo.mtx</t>
  </si>
  <si>
    <t>mnist_test_norm_10NN/mnist_test_norm_10NN.mtx</t>
  </si>
  <si>
    <t>mouse_gene/mouse_gene.mtx</t>
  </si>
  <si>
    <t>msc04515/msc04515.mtx</t>
  </si>
  <si>
    <t>msc10848/msc10848.mtx</t>
  </si>
  <si>
    <t>msc23052/msc23052.mtx</t>
  </si>
  <si>
    <t>msdoor/msdoor.mtx</t>
  </si>
  <si>
    <t>m_t1/m_t1.mtx</t>
  </si>
  <si>
    <t>Muu/Muu.mtx</t>
  </si>
  <si>
    <t>Na5/Na5.mtx</t>
  </si>
  <si>
    <t>nasa4704_id_760/nasa4704_id_760.mtx</t>
  </si>
  <si>
    <t>nasasrb/nasasrb.mtx</t>
  </si>
  <si>
    <t>ncvxbqp1/ncvxbqp1.mtx</t>
  </si>
  <si>
    <t>ncvxqp1/ncvxqp1.mtx</t>
  </si>
  <si>
    <t>ncvxqp3/ncvxqp3.mtx</t>
  </si>
  <si>
    <t>ncvxqp5/ncvxqp5.mtx</t>
  </si>
  <si>
    <t>ncvxqp7/ncvxqp7.mtx</t>
  </si>
  <si>
    <t>ncvxqp9/ncvxqp9.mtx</t>
  </si>
  <si>
    <t>nd12k/nd12k.mtx</t>
  </si>
  <si>
    <t>nd24k/nd24k.mtx</t>
  </si>
  <si>
    <t>nd3k/nd3k.mtx</t>
  </si>
  <si>
    <t>nd6k/nd6k.mtx</t>
  </si>
  <si>
    <t>nemeth01/nemeth01.mtx</t>
  </si>
  <si>
    <t>nemeth02/nemeth02.mtx</t>
  </si>
  <si>
    <t>nemeth03/nemeth03.mtx</t>
  </si>
  <si>
    <t>nemeth04/nemeth04.mtx</t>
  </si>
  <si>
    <t>nemeth05/nemeth05.mtx</t>
  </si>
  <si>
    <t>nemeth06/nemeth06.mtx</t>
  </si>
  <si>
    <t>nemeth07/nemeth07.mtx</t>
  </si>
  <si>
    <t>nemeth08/nemeth08.mtx</t>
  </si>
  <si>
    <t>nemeth09/nemeth09.mtx</t>
  </si>
  <si>
    <t>nemeth10/nemeth10.mtx</t>
  </si>
  <si>
    <t>nemeth11/nemeth11.mtx</t>
  </si>
  <si>
    <t>nemeth12/nemeth12.mtx</t>
  </si>
  <si>
    <t>nemeth13/nemeth13.mtx</t>
  </si>
  <si>
    <t>nemeth14/nemeth14.mtx</t>
  </si>
  <si>
    <t>nemeth15/nemeth15.mtx</t>
  </si>
  <si>
    <t>nemeth16/nemeth16.mtx</t>
  </si>
  <si>
    <t>nemeth17/nemeth17.mtx</t>
  </si>
  <si>
    <t>nemeth18/nemeth18.mtx</t>
  </si>
  <si>
    <t>nemeth19/nemeth19.mtx</t>
  </si>
  <si>
    <t>nemeth20/nemeth20.mtx</t>
  </si>
  <si>
    <t>nemeth21/nemeth21.mtx</t>
  </si>
  <si>
    <t>nemeth22/nemeth22.mtx</t>
  </si>
  <si>
    <t>nemeth23/nemeth23.mtx</t>
  </si>
  <si>
    <t>nemeth24/nemeth24.mtx</t>
  </si>
  <si>
    <t>nemeth25/nemeth25.mtx</t>
  </si>
  <si>
    <t>nemeth26/nemeth26.mtx</t>
  </si>
  <si>
    <t>nlpkkt120/nlpkkt120.mtx</t>
  </si>
  <si>
    <t>nlpkkt80/nlpkkt80.mtx</t>
  </si>
  <si>
    <t>obstclae/obstclae.mtx</t>
  </si>
  <si>
    <t>offshore/offshore.mtx</t>
  </si>
  <si>
    <t>oilpan/oilpan.mtx</t>
  </si>
  <si>
    <t>olafu/olafu.mtx</t>
  </si>
  <si>
    <t>olesnik0/olesnik0.mtx</t>
  </si>
  <si>
    <t>OPF_10000/OPF_10000.mtx</t>
  </si>
  <si>
    <t>OPF_3754/OPF_3754.mtx</t>
  </si>
  <si>
    <t>OPF_6000/OPF_6000.mtx</t>
  </si>
  <si>
    <t>optdigits_10NN/optdigits_10NN.mtx</t>
  </si>
  <si>
    <t>parabolic_fem/parabolic_fem.mtx</t>
  </si>
  <si>
    <t>pdb1HYS/pdb1HYS.mtx</t>
  </si>
  <si>
    <t>PFlow_742/PFlow_742.mtx</t>
  </si>
  <si>
    <t>Pres_Poisson/Pres_Poisson.mtx</t>
  </si>
  <si>
    <t>pwtk/pwtk.mtx</t>
  </si>
  <si>
    <t>qa8fk/qa8fk.mtx</t>
  </si>
  <si>
    <t>qa8fm/qa8fm.mtx</t>
  </si>
  <si>
    <t>qpband/qpband.mtx</t>
  </si>
  <si>
    <t>Queen_4147/Queen_4147.mtx</t>
  </si>
  <si>
    <t>raefsky4/raefsky4.mtx</t>
  </si>
  <si>
    <t>rail_20209/rail_20209.mtx</t>
  </si>
  <si>
    <t>rail_5177/rail_5177.mtx</t>
  </si>
  <si>
    <t>rail_79841/rail_79841.mtx</t>
  </si>
  <si>
    <t>reorientation_6/reorientation_6.mtx</t>
  </si>
  <si>
    <t>reorientation_7/reorientation_7.mtx</t>
  </si>
  <si>
    <t>reorientation_8/reorientation_8.mtx</t>
  </si>
  <si>
    <t>s1rmq4m1/s1rmq4m1.mtx</t>
  </si>
  <si>
    <t>s1rmt3m1/s1rmt3m1.mtx</t>
  </si>
  <si>
    <t>s2rmq4m1/s2rmq4m1.mtx</t>
  </si>
  <si>
    <t>s2rmt3m1/s2rmt3m1.mtx</t>
  </si>
  <si>
    <t>s3dkq4m2/s3dkq4m2.mtx</t>
  </si>
  <si>
    <t>s3dkt3m2/s3dkt3m2.mtx</t>
  </si>
  <si>
    <t>s3rmq4m1/s3rmq4m1.mtx</t>
  </si>
  <si>
    <t>s3rmt3m1/s3rmt3m1.mtx</t>
  </si>
  <si>
    <t>s3rmt3m3/s3rmt3m3.mtx</t>
  </si>
  <si>
    <t>saylr4/saylr4.mtx</t>
  </si>
  <si>
    <t>Serena/Serena.mtx</t>
  </si>
  <si>
    <t>shallow_water1/shallow_water1.mtx</t>
  </si>
  <si>
    <t>shallow_water2/shallow_water2.mtx</t>
  </si>
  <si>
    <t>ship_001/ship_001.mtx</t>
  </si>
  <si>
    <t>ship_003/ship_003.mtx</t>
  </si>
  <si>
    <t>shipsec1/shipsec1.mtx</t>
  </si>
  <si>
    <t>shipsec5/shipsec5.mtx</t>
  </si>
  <si>
    <t>shipsec8/shipsec8.mtx</t>
  </si>
  <si>
    <t>Si10H16/Si10H16.mtx</t>
  </si>
  <si>
    <t>Si34H36/Si34H36.mtx</t>
  </si>
  <si>
    <t>Si41Ge41H72/Si41Ge41H72.mtx</t>
  </si>
  <si>
    <t>Si5H12/Si5H12.mtx</t>
  </si>
  <si>
    <t>Si87H76/Si87H76.mtx</t>
  </si>
  <si>
    <t>SiH4/SiH4.mtx</t>
  </si>
  <si>
    <t>SiNa/SiNa.mtx</t>
  </si>
  <si>
    <t>SiO/SiO.mtx</t>
  </si>
  <si>
    <t>SiO2/SiO2.mtx</t>
  </si>
  <si>
    <t>sit100/sit100.mtx</t>
  </si>
  <si>
    <t>smt/smt.mtx</t>
  </si>
  <si>
    <t>sparsine/sparsine.mtx</t>
  </si>
  <si>
    <t>spmsrtls/spmsrtls.mtx</t>
  </si>
  <si>
    <t>StocF-1465/StocF-1465.mtx</t>
  </si>
  <si>
    <t>stokes128/stokes128.mtx</t>
  </si>
  <si>
    <t>stokes64/stokes64.mtx</t>
  </si>
  <si>
    <t>stokes64s/stokes64s.mtx</t>
  </si>
  <si>
    <t>sts4098/sts4098.mtx</t>
  </si>
  <si>
    <t>t2dah/t2dah.mtx</t>
  </si>
  <si>
    <t>t2dah_a/t2dah_a.mtx</t>
  </si>
  <si>
    <t>t2dah_e/t2dah_e.mtx</t>
  </si>
  <si>
    <t>t2dal/t2dal.mtx</t>
  </si>
  <si>
    <t>t2dal_a/t2dal_a.mtx</t>
  </si>
  <si>
    <t>t2dal_bci/t2dal_bci.mtx</t>
  </si>
  <si>
    <t>t2dal_e/t2dal_e.mtx</t>
  </si>
  <si>
    <t>t3dh/t3dh.mtx</t>
  </si>
  <si>
    <t>t3dh_a/t3dh_a.mtx</t>
  </si>
  <si>
    <t>t3dh_e/t3dh_e.mtx</t>
  </si>
  <si>
    <t>t3dl/t3dl.mtx</t>
  </si>
  <si>
    <t>t3dl_a/t3dl_a.mtx</t>
  </si>
  <si>
    <t>t3dl_e/t3dl_e.mtx</t>
  </si>
  <si>
    <t>ted_B/ted_B.mtx</t>
  </si>
  <si>
    <t>ted_B_unscaled/ted_B_unscaled.mtx</t>
  </si>
  <si>
    <t>TEM152078/TEM152078.mtx</t>
  </si>
  <si>
    <t>TEM181302/TEM181302.mtx</t>
  </si>
  <si>
    <t>TEM27623/TEM27623.mtx</t>
  </si>
  <si>
    <t>thermal1/thermal1.mtx</t>
  </si>
  <si>
    <t>thermal2/thermal2.mtx</t>
  </si>
  <si>
    <t>thermomech_dM/thermomech_dM.mtx</t>
  </si>
  <si>
    <t>thermomech_TC/thermomech_TC.mtx</t>
  </si>
  <si>
    <t>thermomech_TK/thermomech_TK.mtx</t>
  </si>
  <si>
    <t>thread/thread.mtx</t>
  </si>
  <si>
    <t>tmt_sym/tmt_sym.mtx</t>
  </si>
  <si>
    <t>torsion1/torsion1.mtx</t>
  </si>
  <si>
    <t>TSC_OPF_1047/TSC_OPF_1047.mtx</t>
  </si>
  <si>
    <t>TSC_OPF_300/TSC_OPF_300.mtx</t>
  </si>
  <si>
    <t>TSOPF_FS_b162_c1/TSOPF_FS_b162_c1.mtx</t>
  </si>
  <si>
    <t>TSOPF_FS_b162_c3/TSOPF_FS_b162_c3.mtx</t>
  </si>
  <si>
    <t>TSOPF_FS_b162_c4/TSOPF_FS_b162_c4.mtx</t>
  </si>
  <si>
    <t>TSOPF_FS_b300/TSOPF_FS_b300.mtx</t>
  </si>
  <si>
    <t>TSOPF_FS_b300_c1/TSOPF_FS_b300_c1.mtx</t>
  </si>
  <si>
    <t>TSOPF_FS_b300_c2/TSOPF_FS_b300_c2.mtx</t>
  </si>
  <si>
    <t>TSOPF_FS_b300_c3/TSOPF_FS_b300_c3.mtx</t>
  </si>
  <si>
    <t>TSOPF_FS_b39_c19/TSOPF_FS_b39_c19.mtx</t>
  </si>
  <si>
    <t>TSOPF_FS_b39_c30/TSOPF_FS_b39_c30.mtx</t>
  </si>
  <si>
    <t>TSOPF_FS_b39_c7/TSOPF_FS_b39_c7.mtx</t>
  </si>
  <si>
    <t>TSOPF_FS_b9_c6/TSOPF_FS_b9_c6.mtx</t>
  </si>
  <si>
    <t>tuma1/tuma1.mtx</t>
  </si>
  <si>
    <t>tuma2/tuma2.mtx</t>
  </si>
  <si>
    <t>turon_m/turon_m.mtx</t>
  </si>
  <si>
    <t>usps_norm_5NN/usps_norm_5NN.mtx</t>
  </si>
  <si>
    <t>vanbody/vanbody.mtx</t>
  </si>
  <si>
    <t>vibrobox/vibrobox.mtx</t>
  </si>
  <si>
    <t>wathen100/wathen100.mtx</t>
  </si>
  <si>
    <t>wathen120/wathen120.mtx</t>
  </si>
  <si>
    <t>worms20_10NN/worms20_10NN.mtx</t>
  </si>
  <si>
    <t>x104/x104.mtx</t>
  </si>
  <si>
    <t>memory</t>
  </si>
  <si>
    <t>Speed 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</si>
</sst>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9"/>
  <sheetViews>
    <sheetView tabSelected="1" topLeftCell="C422" workbookViewId="0">
      <selection activeCell="R370" sqref="R370"/>
    </sheetView>
  </sheetViews>
  <sheetFormatPr defaultColWidth="9" defaultRowHeight="14.4"/>
  <cols>
    <col min="4" max="4" width="10.6666666666667"/>
    <col min="11" max="12" width="10.6666666666667"/>
    <col min="13" max="13" width="12.8888888888889" style="1"/>
    <col min="14" max="14" width="10.6666666666667"/>
    <col min="15" max="15" width="12.8888888888889" style="1"/>
    <col min="16" max="16" width="10.6666666666667"/>
    <col min="17" max="17" width="12.8888888888889" style="1"/>
    <col min="19" max="23" width="12.8888888888889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2" t="s">
        <v>12</v>
      </c>
      <c r="O1" s="3"/>
      <c r="P1" s="2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</row>
    <row r="2" spans="1:23">
      <c r="A2" s="5" t="s">
        <v>19</v>
      </c>
      <c r="B2" s="5">
        <v>101492</v>
      </c>
      <c r="C2" s="5">
        <v>101492</v>
      </c>
      <c r="D2" s="5">
        <v>1647264</v>
      </c>
      <c r="E2" s="5">
        <v>29.359</v>
      </c>
      <c r="F2" s="5">
        <v>29.949</v>
      </c>
      <c r="G2" s="5">
        <v>22.736</v>
      </c>
      <c r="H2" s="5">
        <v>48</v>
      </c>
      <c r="I2" s="5">
        <v>44.401</v>
      </c>
      <c r="J2" s="5">
        <v>26.84</v>
      </c>
      <c r="K2" s="5">
        <v>1647264</v>
      </c>
      <c r="L2" s="5">
        <v>1651780</v>
      </c>
      <c r="M2" s="6">
        <f>L2/K2</f>
        <v>1.00274151562834</v>
      </c>
      <c r="N2" s="5">
        <v>5465216</v>
      </c>
      <c r="O2" s="6">
        <f>N2/K2</f>
        <v>3.31775355984226</v>
      </c>
      <c r="P2" s="5">
        <v>1486658</v>
      </c>
      <c r="Q2" s="1">
        <f>P2/K2</f>
        <v>0.902501359830604</v>
      </c>
      <c r="S2" s="4">
        <f>E2/F2</f>
        <v>0.980299843066546</v>
      </c>
      <c r="T2" s="4">
        <f>E2/G2</f>
        <v>1.29130014074595</v>
      </c>
      <c r="U2" s="4">
        <f>E2/H2</f>
        <v>0.611645833333333</v>
      </c>
      <c r="V2" s="4">
        <f>E2/I2</f>
        <v>0.661223846309768</v>
      </c>
      <c r="W2" s="4">
        <f>E2/J2</f>
        <v>1.09385245901639</v>
      </c>
    </row>
    <row r="3" spans="1:23">
      <c r="A3" s="5" t="s">
        <v>20</v>
      </c>
      <c r="B3" s="5">
        <v>80016</v>
      </c>
      <c r="C3" s="5">
        <v>80016</v>
      </c>
      <c r="D3" s="5">
        <v>355034</v>
      </c>
      <c r="E3" s="5">
        <v>7.275</v>
      </c>
      <c r="F3" s="5">
        <v>7.604</v>
      </c>
      <c r="G3" s="5">
        <v>5.657</v>
      </c>
      <c r="H3" s="5">
        <v>12.745</v>
      </c>
      <c r="I3" s="5">
        <v>8.415</v>
      </c>
      <c r="J3" s="5">
        <v>7.435</v>
      </c>
      <c r="K3" s="5">
        <v>355034</v>
      </c>
      <c r="L3" s="5">
        <v>395032</v>
      </c>
      <c r="M3" s="6">
        <f t="shared" ref="M3:M66" si="0">L3/K3</f>
        <v>1.11265963259857</v>
      </c>
      <c r="N3" s="5">
        <v>1300072</v>
      </c>
      <c r="O3" s="6">
        <f t="shared" ref="O3:O66" si="1">N3/K3</f>
        <v>3.66182393798904</v>
      </c>
      <c r="P3" s="5">
        <v>235040</v>
      </c>
      <c r="Q3" s="1">
        <f t="shared" ref="Q3:Q66" si="2">P3/K3</f>
        <v>0.662021102204296</v>
      </c>
      <c r="S3" s="4">
        <f>E3/F3</f>
        <v>0.956733298264072</v>
      </c>
      <c r="T3" s="4">
        <f>E3/G3</f>
        <v>1.28601732366979</v>
      </c>
      <c r="U3" s="4">
        <f>E3/H3</f>
        <v>0.570812083169871</v>
      </c>
      <c r="V3" s="4">
        <f t="shared" ref="V2:V65" si="3">E3/I3</f>
        <v>0.864527629233512</v>
      </c>
      <c r="W3" s="4">
        <f t="shared" ref="W2:W65" si="4">E3/J3</f>
        <v>0.97848016139879</v>
      </c>
    </row>
    <row r="4" spans="1:23">
      <c r="A4" s="5" t="s">
        <v>21</v>
      </c>
      <c r="B4" s="5">
        <v>80016</v>
      </c>
      <c r="C4" s="5">
        <v>80016</v>
      </c>
      <c r="D4" s="5">
        <v>347222</v>
      </c>
      <c r="E4" s="5">
        <v>7.88</v>
      </c>
      <c r="F4" s="5">
        <v>8.29</v>
      </c>
      <c r="G4" s="5">
        <v>5.523</v>
      </c>
      <c r="H4" s="5">
        <v>12.455</v>
      </c>
      <c r="I4" s="5">
        <v>8.661</v>
      </c>
      <c r="J4" s="5">
        <v>7.757</v>
      </c>
      <c r="K4" s="5">
        <v>347222</v>
      </c>
      <c r="L4" s="5">
        <v>389236</v>
      </c>
      <c r="M4" s="6">
        <f t="shared" si="0"/>
        <v>1.12100039744025</v>
      </c>
      <c r="N4" s="5">
        <v>1276092</v>
      </c>
      <c r="O4" s="6">
        <f t="shared" si="1"/>
        <v>3.67514731209428</v>
      </c>
      <c r="P4" s="5">
        <v>233654</v>
      </c>
      <c r="Q4" s="1">
        <f t="shared" si="2"/>
        <v>0.672923950671328</v>
      </c>
      <c r="S4" s="4">
        <f t="shared" ref="S2:S65" si="5">E4/F4</f>
        <v>0.950542822677925</v>
      </c>
      <c r="T4" s="4">
        <f t="shared" ref="T2:T65" si="6">E4/G4</f>
        <v>1.4267608183958</v>
      </c>
      <c r="U4" s="4">
        <f t="shared" ref="U2:U65" si="7">E4/H4</f>
        <v>0.632677639502208</v>
      </c>
      <c r="V4" s="4">
        <f t="shared" si="3"/>
        <v>0.909825655236116</v>
      </c>
      <c r="W4" s="4">
        <f t="shared" si="4"/>
        <v>1.01585664561042</v>
      </c>
    </row>
    <row r="5" spans="1:23">
      <c r="A5" s="5" t="s">
        <v>22</v>
      </c>
      <c r="B5" s="5">
        <v>60008</v>
      </c>
      <c r="C5" s="5">
        <v>60008</v>
      </c>
      <c r="D5" s="5">
        <v>255004</v>
      </c>
      <c r="E5" s="5">
        <v>4.986</v>
      </c>
      <c r="F5" s="5">
        <v>5.456</v>
      </c>
      <c r="G5" s="5">
        <v>4.574</v>
      </c>
      <c r="H5" s="5">
        <v>8.697</v>
      </c>
      <c r="I5" s="5">
        <v>5.716</v>
      </c>
      <c r="J5" s="5">
        <v>4.52</v>
      </c>
      <c r="K5" s="5">
        <v>255004</v>
      </c>
      <c r="L5" s="5">
        <v>289984</v>
      </c>
      <c r="M5" s="6">
        <f t="shared" si="0"/>
        <v>1.13717431883421</v>
      </c>
      <c r="N5" s="5">
        <v>945004</v>
      </c>
      <c r="O5" s="6">
        <f t="shared" si="1"/>
        <v>3.70583990839359</v>
      </c>
      <c r="P5" s="5">
        <v>170018</v>
      </c>
      <c r="Q5" s="1">
        <f t="shared" si="2"/>
        <v>0.666726796442409</v>
      </c>
      <c r="S5" s="4">
        <f t="shared" si="5"/>
        <v>0.913856304985337</v>
      </c>
      <c r="T5" s="4">
        <f t="shared" si="6"/>
        <v>1.09007433318758</v>
      </c>
      <c r="U5" s="4">
        <f t="shared" si="7"/>
        <v>0.57330113832356</v>
      </c>
      <c r="V5" s="4">
        <f t="shared" si="3"/>
        <v>0.872288313505948</v>
      </c>
      <c r="W5" s="4">
        <f t="shared" si="4"/>
        <v>1.10309734513274</v>
      </c>
    </row>
    <row r="6" spans="1:23">
      <c r="A6" s="5" t="s">
        <v>23</v>
      </c>
      <c r="B6" s="5">
        <v>69999</v>
      </c>
      <c r="C6" s="5">
        <v>69999</v>
      </c>
      <c r="D6" s="5">
        <v>238627</v>
      </c>
      <c r="E6" s="5">
        <v>8.314</v>
      </c>
      <c r="F6" s="5">
        <v>8.875</v>
      </c>
      <c r="G6" s="5">
        <v>3.8</v>
      </c>
      <c r="H6" s="5">
        <v>9.324</v>
      </c>
      <c r="I6" s="5">
        <v>10.366</v>
      </c>
      <c r="J6" s="5">
        <v>8.114</v>
      </c>
      <c r="K6" s="5">
        <v>238627</v>
      </c>
      <c r="L6" s="5">
        <v>241012</v>
      </c>
      <c r="M6" s="6">
        <f t="shared" si="0"/>
        <v>1.00999467788641</v>
      </c>
      <c r="N6" s="5">
        <v>672712</v>
      </c>
      <c r="O6" s="6">
        <f t="shared" si="1"/>
        <v>2.81909423493569</v>
      </c>
      <c r="P6" s="5">
        <v>209734</v>
      </c>
      <c r="Q6" s="1">
        <f t="shared" si="2"/>
        <v>0.878919820472956</v>
      </c>
      <c r="S6" s="4">
        <f t="shared" si="5"/>
        <v>0.936788732394366</v>
      </c>
      <c r="T6" s="4">
        <f t="shared" si="6"/>
        <v>2.18789473684211</v>
      </c>
      <c r="U6" s="4">
        <f t="shared" si="7"/>
        <v>0.891677391677392</v>
      </c>
      <c r="V6" s="4">
        <f t="shared" si="3"/>
        <v>0.802045147597916</v>
      </c>
      <c r="W6" s="4">
        <f t="shared" si="4"/>
        <v>1.02464875523786</v>
      </c>
    </row>
    <row r="7" spans="1:23">
      <c r="A7" s="5" t="s">
        <v>24</v>
      </c>
      <c r="B7" s="5">
        <v>503625</v>
      </c>
      <c r="C7" s="5">
        <v>503625</v>
      </c>
      <c r="D7" s="5">
        <v>17550675</v>
      </c>
      <c r="E7" s="5">
        <v>350.178</v>
      </c>
      <c r="F7" s="5">
        <v>307.667</v>
      </c>
      <c r="G7" s="5">
        <v>344.077</v>
      </c>
      <c r="H7" s="5">
        <v>213.425</v>
      </c>
      <c r="I7" s="5">
        <v>207.552</v>
      </c>
      <c r="J7" s="5">
        <v>203.662</v>
      </c>
      <c r="K7" s="5">
        <v>17550675</v>
      </c>
      <c r="L7" s="5">
        <v>17562680</v>
      </c>
      <c r="M7" s="6">
        <f t="shared" si="0"/>
        <v>1.00068401927561</v>
      </c>
      <c r="N7" s="5">
        <v>20078940</v>
      </c>
      <c r="O7" s="6">
        <f t="shared" si="1"/>
        <v>1.14405514317825</v>
      </c>
      <c r="P7" s="5">
        <v>9329154</v>
      </c>
      <c r="Q7" s="1">
        <f t="shared" si="2"/>
        <v>0.531555282061801</v>
      </c>
      <c r="S7" s="4">
        <f t="shared" si="5"/>
        <v>1.13817211465643</v>
      </c>
      <c r="T7" s="4">
        <f t="shared" si="6"/>
        <v>1.01773149614766</v>
      </c>
      <c r="U7" s="4">
        <f t="shared" si="7"/>
        <v>1.64075436335949</v>
      </c>
      <c r="V7" s="4">
        <f t="shared" si="3"/>
        <v>1.68718200740056</v>
      </c>
      <c r="W7" s="4">
        <f t="shared" si="4"/>
        <v>1.71940764600171</v>
      </c>
    </row>
    <row r="8" spans="1:23">
      <c r="A8" s="5" t="s">
        <v>25</v>
      </c>
      <c r="B8" s="5">
        <v>503625</v>
      </c>
      <c r="C8" s="5">
        <v>503625</v>
      </c>
      <c r="D8" s="5">
        <v>17550675</v>
      </c>
      <c r="E8" s="5">
        <v>349.668</v>
      </c>
      <c r="F8" s="5">
        <v>306.816</v>
      </c>
      <c r="G8" s="5">
        <v>344.479</v>
      </c>
      <c r="H8" s="5">
        <v>213.249</v>
      </c>
      <c r="I8" s="5">
        <v>206.211</v>
      </c>
      <c r="J8" s="5">
        <v>203.373</v>
      </c>
      <c r="K8" s="5">
        <v>17550675</v>
      </c>
      <c r="L8" s="5">
        <v>17562680</v>
      </c>
      <c r="M8" s="6">
        <f t="shared" si="0"/>
        <v>1.00068401927561</v>
      </c>
      <c r="N8" s="5">
        <v>20078940</v>
      </c>
      <c r="O8" s="6">
        <f t="shared" si="1"/>
        <v>1.14405514317825</v>
      </c>
      <c r="P8" s="5">
        <v>9329154</v>
      </c>
      <c r="Q8" s="1">
        <f t="shared" si="2"/>
        <v>0.531555282061801</v>
      </c>
      <c r="S8" s="4">
        <f t="shared" si="5"/>
        <v>1.1396667709637</v>
      </c>
      <c r="T8" s="4">
        <f t="shared" si="6"/>
        <v>1.01506332751779</v>
      </c>
      <c r="U8" s="4">
        <f t="shared" si="7"/>
        <v>1.63971695060704</v>
      </c>
      <c r="V8" s="4">
        <f t="shared" si="3"/>
        <v>1.69568063779333</v>
      </c>
      <c r="W8" s="4">
        <f t="shared" si="4"/>
        <v>1.71934327565606</v>
      </c>
    </row>
    <row r="9" spans="1:23">
      <c r="A9" s="5" t="s">
        <v>26</v>
      </c>
      <c r="B9" s="5">
        <v>503625</v>
      </c>
      <c r="C9" s="5">
        <v>503625</v>
      </c>
      <c r="D9" s="5">
        <v>17550675</v>
      </c>
      <c r="E9" s="5">
        <v>349.573</v>
      </c>
      <c r="F9" s="5">
        <v>306.1</v>
      </c>
      <c r="G9" s="5">
        <v>344.008</v>
      </c>
      <c r="H9" s="5">
        <v>213.349</v>
      </c>
      <c r="I9" s="5">
        <v>205.788</v>
      </c>
      <c r="J9" s="5">
        <v>203.317</v>
      </c>
      <c r="K9" s="5">
        <v>17550675</v>
      </c>
      <c r="L9" s="5">
        <v>17562680</v>
      </c>
      <c r="M9" s="6">
        <f t="shared" si="0"/>
        <v>1.00068401927561</v>
      </c>
      <c r="N9" s="5">
        <v>20078940</v>
      </c>
      <c r="O9" s="6">
        <f t="shared" si="1"/>
        <v>1.14405514317825</v>
      </c>
      <c r="P9" s="5">
        <v>9329154</v>
      </c>
      <c r="Q9" s="1">
        <f t="shared" si="2"/>
        <v>0.531555282061801</v>
      </c>
      <c r="S9" s="4">
        <f t="shared" si="5"/>
        <v>1.14202221496243</v>
      </c>
      <c r="T9" s="4">
        <f t="shared" si="6"/>
        <v>1.01617694937327</v>
      </c>
      <c r="U9" s="4">
        <f t="shared" si="7"/>
        <v>1.63850310992786</v>
      </c>
      <c r="V9" s="4">
        <f t="shared" si="3"/>
        <v>1.69870449200148</v>
      </c>
      <c r="W9" s="4">
        <f t="shared" si="4"/>
        <v>1.71934958709798</v>
      </c>
    </row>
    <row r="10" spans="1:23">
      <c r="A10" s="5" t="s">
        <v>27</v>
      </c>
      <c r="B10" s="5">
        <v>503625</v>
      </c>
      <c r="C10" s="5">
        <v>503625</v>
      </c>
      <c r="D10" s="5">
        <v>17550675</v>
      </c>
      <c r="E10" s="5">
        <v>349.341</v>
      </c>
      <c r="F10" s="5">
        <v>305.316</v>
      </c>
      <c r="G10" s="5">
        <v>344.113</v>
      </c>
      <c r="H10" s="5">
        <v>212.228</v>
      </c>
      <c r="I10" s="5">
        <v>205.792</v>
      </c>
      <c r="J10" s="5">
        <v>198.408</v>
      </c>
      <c r="K10" s="5">
        <v>17550675</v>
      </c>
      <c r="L10" s="5">
        <v>17562680</v>
      </c>
      <c r="M10" s="6">
        <f t="shared" si="0"/>
        <v>1.00068401927561</v>
      </c>
      <c r="N10" s="5">
        <v>20078940</v>
      </c>
      <c r="O10" s="6">
        <f t="shared" si="1"/>
        <v>1.14405514317825</v>
      </c>
      <c r="P10" s="5">
        <v>9329154</v>
      </c>
      <c r="Q10" s="1">
        <f t="shared" si="2"/>
        <v>0.531555282061801</v>
      </c>
      <c r="S10" s="4">
        <f t="shared" si="5"/>
        <v>1.14419486695751</v>
      </c>
      <c r="T10" s="4">
        <f t="shared" si="6"/>
        <v>1.01519268379864</v>
      </c>
      <c r="U10" s="4">
        <f t="shared" si="7"/>
        <v>1.64606460975932</v>
      </c>
      <c r="V10" s="4">
        <f t="shared" si="3"/>
        <v>1.69754412222049</v>
      </c>
      <c r="W10" s="4">
        <f t="shared" si="4"/>
        <v>1.76072033385751</v>
      </c>
    </row>
    <row r="11" spans="1:23">
      <c r="A11" s="5" t="s">
        <v>28</v>
      </c>
      <c r="B11" s="5">
        <v>503625</v>
      </c>
      <c r="C11" s="5">
        <v>503625</v>
      </c>
      <c r="D11" s="5">
        <v>17550675</v>
      </c>
      <c r="E11" s="5">
        <v>349.817</v>
      </c>
      <c r="F11" s="5">
        <v>307.84</v>
      </c>
      <c r="G11" s="5">
        <v>344.157</v>
      </c>
      <c r="H11" s="5">
        <v>213.293</v>
      </c>
      <c r="I11" s="5">
        <v>206.445</v>
      </c>
      <c r="J11" s="5">
        <v>203.399</v>
      </c>
      <c r="K11" s="5">
        <v>17550675</v>
      </c>
      <c r="L11" s="5">
        <v>17562680</v>
      </c>
      <c r="M11" s="6">
        <f t="shared" si="0"/>
        <v>1.00068401927561</v>
      </c>
      <c r="N11" s="5">
        <v>20078940</v>
      </c>
      <c r="O11" s="6">
        <f t="shared" si="1"/>
        <v>1.14405514317825</v>
      </c>
      <c r="P11" s="5">
        <v>9329154</v>
      </c>
      <c r="Q11" s="1">
        <f t="shared" si="2"/>
        <v>0.531555282061801</v>
      </c>
      <c r="S11" s="4">
        <f t="shared" si="5"/>
        <v>1.1363597972973</v>
      </c>
      <c r="T11" s="4">
        <f t="shared" si="6"/>
        <v>1.01644598250217</v>
      </c>
      <c r="U11" s="4">
        <f t="shared" si="7"/>
        <v>1.64007726460784</v>
      </c>
      <c r="V11" s="4">
        <f t="shared" si="3"/>
        <v>1.69448037007435</v>
      </c>
      <c r="W11" s="4">
        <f t="shared" si="4"/>
        <v>1.7198560464899</v>
      </c>
    </row>
    <row r="12" spans="1:23">
      <c r="A12" s="5" t="s">
        <v>29</v>
      </c>
      <c r="B12" s="5">
        <v>503625</v>
      </c>
      <c r="C12" s="5">
        <v>503625</v>
      </c>
      <c r="D12" s="5">
        <v>17550675</v>
      </c>
      <c r="E12" s="5">
        <v>349.868</v>
      </c>
      <c r="F12" s="5">
        <v>306.64</v>
      </c>
      <c r="G12" s="5">
        <v>344.469</v>
      </c>
      <c r="H12" s="5">
        <v>212.98</v>
      </c>
      <c r="I12" s="5">
        <v>205.461</v>
      </c>
      <c r="J12" s="5">
        <v>203.348</v>
      </c>
      <c r="K12" s="5">
        <v>17550675</v>
      </c>
      <c r="L12" s="5">
        <v>17562680</v>
      </c>
      <c r="M12" s="6">
        <f t="shared" si="0"/>
        <v>1.00068401927561</v>
      </c>
      <c r="N12" s="5">
        <v>20078940</v>
      </c>
      <c r="O12" s="6">
        <f t="shared" si="1"/>
        <v>1.14405514317825</v>
      </c>
      <c r="P12" s="5">
        <v>9329154</v>
      </c>
      <c r="Q12" s="1">
        <f t="shared" si="2"/>
        <v>0.531555282061801</v>
      </c>
      <c r="S12" s="4">
        <f t="shared" si="5"/>
        <v>1.1409731280981</v>
      </c>
      <c r="T12" s="4">
        <f t="shared" si="6"/>
        <v>1.01567339876738</v>
      </c>
      <c r="U12" s="4">
        <f t="shared" si="7"/>
        <v>1.64272701662128</v>
      </c>
      <c r="V12" s="4">
        <f t="shared" si="3"/>
        <v>1.70284384871095</v>
      </c>
      <c r="W12" s="4">
        <f t="shared" si="4"/>
        <v>1.72053819068788</v>
      </c>
    </row>
    <row r="13" spans="1:23">
      <c r="A13" s="5" t="s">
        <v>30</v>
      </c>
      <c r="B13" s="5">
        <v>504855</v>
      </c>
      <c r="C13" s="5">
        <v>504855</v>
      </c>
      <c r="D13" s="5">
        <v>17588875</v>
      </c>
      <c r="E13" s="5">
        <v>355.929</v>
      </c>
      <c r="F13" s="5">
        <v>317.292</v>
      </c>
      <c r="G13" s="5">
        <v>290.079</v>
      </c>
      <c r="H13" s="5">
        <v>213.698</v>
      </c>
      <c r="I13" s="5">
        <v>211.416</v>
      </c>
      <c r="J13" s="5">
        <v>205.992</v>
      </c>
      <c r="K13" s="5">
        <v>17588875</v>
      </c>
      <c r="L13" s="5">
        <v>17599860</v>
      </c>
      <c r="M13" s="6">
        <f t="shared" si="0"/>
        <v>1.00062454250201</v>
      </c>
      <c r="N13" s="5">
        <v>20138000</v>
      </c>
      <c r="O13" s="6">
        <f t="shared" si="1"/>
        <v>1.14492825720804</v>
      </c>
      <c r="P13" s="5">
        <v>9303212</v>
      </c>
      <c r="Q13" s="1">
        <f t="shared" si="2"/>
        <v>0.528925926189139</v>
      </c>
      <c r="S13" s="4">
        <f t="shared" si="5"/>
        <v>1.12177111304414</v>
      </c>
      <c r="T13" s="4">
        <f t="shared" si="6"/>
        <v>1.22700712564508</v>
      </c>
      <c r="U13" s="4">
        <f t="shared" si="7"/>
        <v>1.66557010360415</v>
      </c>
      <c r="V13" s="4">
        <f t="shared" si="3"/>
        <v>1.68354807583154</v>
      </c>
      <c r="W13" s="4">
        <f t="shared" si="4"/>
        <v>1.72787778166142</v>
      </c>
    </row>
    <row r="14" spans="1:23">
      <c r="A14" s="5" t="s">
        <v>31</v>
      </c>
      <c r="B14" s="5">
        <v>1508065</v>
      </c>
      <c r="C14" s="5">
        <v>1508065</v>
      </c>
      <c r="D14" s="5">
        <v>52672325</v>
      </c>
      <c r="E14" s="5">
        <v>1032.81</v>
      </c>
      <c r="F14" s="5">
        <v>924.588</v>
      </c>
      <c r="G14" s="5">
        <v>848.131</v>
      </c>
      <c r="H14" s="5">
        <v>642.478</v>
      </c>
      <c r="I14" s="5">
        <v>631.514</v>
      </c>
      <c r="J14" s="5">
        <v>609.912</v>
      </c>
      <c r="K14" s="5">
        <v>52672325</v>
      </c>
      <c r="L14" s="5">
        <v>52684020</v>
      </c>
      <c r="M14" s="6">
        <f t="shared" si="0"/>
        <v>1.00022203310752</v>
      </c>
      <c r="N14" s="5">
        <v>60218880</v>
      </c>
      <c r="O14" s="6">
        <f t="shared" si="1"/>
        <v>1.14327362614048</v>
      </c>
      <c r="P14" s="5">
        <v>27844644</v>
      </c>
      <c r="Q14" s="1">
        <f t="shared" si="2"/>
        <v>0.528638976920043</v>
      </c>
      <c r="S14" s="4">
        <f t="shared" si="5"/>
        <v>1.11704889096549</v>
      </c>
      <c r="T14" s="4">
        <f t="shared" si="6"/>
        <v>1.21774820163395</v>
      </c>
      <c r="U14" s="4">
        <f t="shared" si="7"/>
        <v>1.60754142554298</v>
      </c>
      <c r="V14" s="4">
        <f t="shared" si="3"/>
        <v>1.63545067884481</v>
      </c>
      <c r="W14" s="4">
        <f t="shared" si="4"/>
        <v>1.69337543776807</v>
      </c>
    </row>
    <row r="15" spans="1:23">
      <c r="A15" s="5" t="s">
        <v>32</v>
      </c>
      <c r="B15" s="5">
        <v>504855</v>
      </c>
      <c r="C15" s="5">
        <v>504855</v>
      </c>
      <c r="D15" s="5">
        <v>17588875</v>
      </c>
      <c r="E15" s="5">
        <v>356.479</v>
      </c>
      <c r="F15" s="5">
        <v>319.343</v>
      </c>
      <c r="G15" s="5">
        <v>292.107</v>
      </c>
      <c r="H15" s="5">
        <v>215.285</v>
      </c>
      <c r="I15" s="5">
        <v>208.84</v>
      </c>
      <c r="J15" s="5">
        <v>205.998</v>
      </c>
      <c r="K15" s="5">
        <v>17588875</v>
      </c>
      <c r="L15" s="5">
        <v>17599860</v>
      </c>
      <c r="M15" s="6">
        <f t="shared" si="0"/>
        <v>1.00062454250201</v>
      </c>
      <c r="N15" s="5">
        <v>20138000</v>
      </c>
      <c r="O15" s="6">
        <f t="shared" si="1"/>
        <v>1.14492825720804</v>
      </c>
      <c r="P15" s="5">
        <v>9303212</v>
      </c>
      <c r="Q15" s="1">
        <f t="shared" si="2"/>
        <v>0.528925926189139</v>
      </c>
      <c r="S15" s="4">
        <f t="shared" si="5"/>
        <v>1.11628875535083</v>
      </c>
      <c r="T15" s="4">
        <f t="shared" si="6"/>
        <v>1.22037130229676</v>
      </c>
      <c r="U15" s="4">
        <f t="shared" si="7"/>
        <v>1.65584690062011</v>
      </c>
      <c r="V15" s="4">
        <f t="shared" si="3"/>
        <v>1.70694790270063</v>
      </c>
      <c r="W15" s="4">
        <f t="shared" si="4"/>
        <v>1.73049738346974</v>
      </c>
    </row>
    <row r="16" spans="1:23">
      <c r="A16" s="5" t="s">
        <v>33</v>
      </c>
      <c r="B16" s="5">
        <v>504855</v>
      </c>
      <c r="C16" s="5">
        <v>504855</v>
      </c>
      <c r="D16" s="5">
        <v>17588875</v>
      </c>
      <c r="E16" s="5">
        <v>356.439</v>
      </c>
      <c r="F16" s="5">
        <v>317.702</v>
      </c>
      <c r="G16" s="5">
        <v>291.65</v>
      </c>
      <c r="H16" s="5">
        <v>214.632</v>
      </c>
      <c r="I16" s="5">
        <v>212.47</v>
      </c>
      <c r="J16" s="5">
        <v>204.202</v>
      </c>
      <c r="K16" s="5">
        <v>17588875</v>
      </c>
      <c r="L16" s="5">
        <v>17599860</v>
      </c>
      <c r="M16" s="6">
        <f t="shared" si="0"/>
        <v>1.00062454250201</v>
      </c>
      <c r="N16" s="5">
        <v>20138000</v>
      </c>
      <c r="O16" s="6">
        <f t="shared" si="1"/>
        <v>1.14492825720804</v>
      </c>
      <c r="P16" s="5">
        <v>9303212</v>
      </c>
      <c r="Q16" s="1">
        <f t="shared" si="2"/>
        <v>0.528925926189139</v>
      </c>
      <c r="S16" s="4">
        <f t="shared" si="5"/>
        <v>1.12192872566115</v>
      </c>
      <c r="T16" s="4">
        <f t="shared" si="6"/>
        <v>1.22214640836619</v>
      </c>
      <c r="U16" s="4">
        <f t="shared" si="7"/>
        <v>1.66069831152857</v>
      </c>
      <c r="V16" s="4">
        <f t="shared" si="3"/>
        <v>1.67759683720055</v>
      </c>
      <c r="W16" s="4">
        <f t="shared" si="4"/>
        <v>1.74552159136541</v>
      </c>
    </row>
    <row r="17" spans="1:23">
      <c r="A17" s="5" t="s">
        <v>34</v>
      </c>
      <c r="B17" s="5">
        <v>504855</v>
      </c>
      <c r="C17" s="5">
        <v>504855</v>
      </c>
      <c r="D17" s="5">
        <v>17588875</v>
      </c>
      <c r="E17" s="5">
        <v>354.883</v>
      </c>
      <c r="F17" s="5">
        <v>318.205</v>
      </c>
      <c r="G17" s="5">
        <v>292.107</v>
      </c>
      <c r="H17" s="5">
        <v>215.246</v>
      </c>
      <c r="I17" s="5">
        <v>209.921</v>
      </c>
      <c r="J17" s="5">
        <v>203.6</v>
      </c>
      <c r="K17" s="5">
        <v>17588875</v>
      </c>
      <c r="L17" s="5">
        <v>17599860</v>
      </c>
      <c r="M17" s="6">
        <f t="shared" si="0"/>
        <v>1.00062454250201</v>
      </c>
      <c r="N17" s="5">
        <v>20138000</v>
      </c>
      <c r="O17" s="6">
        <f t="shared" si="1"/>
        <v>1.14492825720804</v>
      </c>
      <c r="P17" s="5">
        <v>9303212</v>
      </c>
      <c r="Q17" s="1">
        <f t="shared" si="2"/>
        <v>0.528925926189139</v>
      </c>
      <c r="S17" s="4">
        <f t="shared" si="5"/>
        <v>1.11526531638409</v>
      </c>
      <c r="T17" s="4">
        <f t="shared" si="6"/>
        <v>1.21490755100015</v>
      </c>
      <c r="U17" s="4">
        <f t="shared" si="7"/>
        <v>1.64873214833261</v>
      </c>
      <c r="V17" s="4">
        <f t="shared" si="3"/>
        <v>1.69055501831641</v>
      </c>
      <c r="W17" s="4">
        <f t="shared" si="4"/>
        <v>1.74304027504912</v>
      </c>
    </row>
    <row r="18" spans="1:23">
      <c r="A18" s="5" t="s">
        <v>35</v>
      </c>
      <c r="B18" s="5">
        <v>504855</v>
      </c>
      <c r="C18" s="5">
        <v>504855</v>
      </c>
      <c r="D18" s="5">
        <v>17588875</v>
      </c>
      <c r="E18" s="5">
        <v>355.684</v>
      </c>
      <c r="F18" s="5">
        <v>318.694</v>
      </c>
      <c r="G18" s="5">
        <v>291.637</v>
      </c>
      <c r="H18" s="5">
        <v>213.972</v>
      </c>
      <c r="I18" s="5">
        <v>211.974</v>
      </c>
      <c r="J18" s="5">
        <v>204.332</v>
      </c>
      <c r="K18" s="5">
        <v>17588875</v>
      </c>
      <c r="L18" s="5">
        <v>17599860</v>
      </c>
      <c r="M18" s="6">
        <f t="shared" si="0"/>
        <v>1.00062454250201</v>
      </c>
      <c r="N18" s="5">
        <v>20138000</v>
      </c>
      <c r="O18" s="6">
        <f t="shared" si="1"/>
        <v>1.14492825720804</v>
      </c>
      <c r="P18" s="5">
        <v>9303212</v>
      </c>
      <c r="Q18" s="1">
        <f t="shared" si="2"/>
        <v>0.528925926189139</v>
      </c>
      <c r="S18" s="4">
        <f t="shared" si="5"/>
        <v>1.11606745028146</v>
      </c>
      <c r="T18" s="4">
        <f t="shared" si="6"/>
        <v>1.21961205196871</v>
      </c>
      <c r="U18" s="4">
        <f t="shared" si="7"/>
        <v>1.66229226253902</v>
      </c>
      <c r="V18" s="4">
        <f t="shared" si="3"/>
        <v>1.67796050459019</v>
      </c>
      <c r="W18" s="4">
        <f t="shared" si="4"/>
        <v>1.7407160895014</v>
      </c>
    </row>
    <row r="19" spans="1:23">
      <c r="A19" s="5" t="s">
        <v>36</v>
      </c>
      <c r="B19" s="5">
        <v>504855</v>
      </c>
      <c r="C19" s="5">
        <v>504855</v>
      </c>
      <c r="D19" s="5">
        <v>17588875</v>
      </c>
      <c r="E19" s="5">
        <v>355.018</v>
      </c>
      <c r="F19" s="5">
        <v>318.663</v>
      </c>
      <c r="G19" s="5">
        <v>291.67</v>
      </c>
      <c r="H19" s="5">
        <v>215.142</v>
      </c>
      <c r="I19" s="5">
        <v>210.679</v>
      </c>
      <c r="J19" s="5">
        <v>206.136</v>
      </c>
      <c r="K19" s="5">
        <v>17588875</v>
      </c>
      <c r="L19" s="5">
        <v>17599860</v>
      </c>
      <c r="M19" s="6">
        <f t="shared" si="0"/>
        <v>1.00062454250201</v>
      </c>
      <c r="N19" s="5">
        <v>20138000</v>
      </c>
      <c r="O19" s="6">
        <f t="shared" si="1"/>
        <v>1.14492825720804</v>
      </c>
      <c r="P19" s="5">
        <v>9303212</v>
      </c>
      <c r="Q19" s="1">
        <f t="shared" si="2"/>
        <v>0.528925926189139</v>
      </c>
      <c r="S19" s="4">
        <f t="shared" si="5"/>
        <v>1.11408604073896</v>
      </c>
      <c r="T19" s="4">
        <f t="shared" si="6"/>
        <v>1.21719066067816</v>
      </c>
      <c r="U19" s="4">
        <f t="shared" si="7"/>
        <v>1.65015664073031</v>
      </c>
      <c r="V19" s="4">
        <f t="shared" si="3"/>
        <v>1.6851133715273</v>
      </c>
      <c r="W19" s="4">
        <f t="shared" si="4"/>
        <v>1.72225132921954</v>
      </c>
    </row>
    <row r="20" spans="1:23">
      <c r="A20" s="5" t="s">
        <v>37</v>
      </c>
      <c r="B20" s="5">
        <v>504855</v>
      </c>
      <c r="C20" s="5">
        <v>504855</v>
      </c>
      <c r="D20" s="5">
        <v>17588875</v>
      </c>
      <c r="E20" s="5">
        <v>355.291</v>
      </c>
      <c r="F20" s="5">
        <v>317.611</v>
      </c>
      <c r="G20" s="5">
        <v>291.615</v>
      </c>
      <c r="H20" s="5">
        <v>215.028</v>
      </c>
      <c r="I20" s="5">
        <v>211.149</v>
      </c>
      <c r="J20" s="5">
        <v>205.704</v>
      </c>
      <c r="K20" s="5">
        <v>17588875</v>
      </c>
      <c r="L20" s="5">
        <v>17599860</v>
      </c>
      <c r="M20" s="6">
        <f t="shared" si="0"/>
        <v>1.00062454250201</v>
      </c>
      <c r="N20" s="5">
        <v>20138000</v>
      </c>
      <c r="O20" s="6">
        <f t="shared" si="1"/>
        <v>1.14492825720804</v>
      </c>
      <c r="P20" s="5">
        <v>9303212</v>
      </c>
      <c r="Q20" s="1">
        <f t="shared" si="2"/>
        <v>0.528925926189139</v>
      </c>
      <c r="S20" s="4">
        <f t="shared" si="5"/>
        <v>1.11863568956995</v>
      </c>
      <c r="T20" s="4">
        <f t="shared" si="6"/>
        <v>1.21835639456132</v>
      </c>
      <c r="U20" s="4">
        <f t="shared" si="7"/>
        <v>1.65230109567126</v>
      </c>
      <c r="V20" s="4">
        <f t="shared" si="3"/>
        <v>1.68265537606145</v>
      </c>
      <c r="W20" s="4">
        <f t="shared" si="4"/>
        <v>1.72719538754716</v>
      </c>
    </row>
    <row r="21" spans="1:23">
      <c r="A21" s="5" t="s">
        <v>38</v>
      </c>
      <c r="B21" s="5">
        <v>504855</v>
      </c>
      <c r="C21" s="5">
        <v>504855</v>
      </c>
      <c r="D21" s="5">
        <v>17588875</v>
      </c>
      <c r="E21" s="5">
        <v>355.351</v>
      </c>
      <c r="F21" s="5">
        <v>315.624</v>
      </c>
      <c r="G21" s="5">
        <v>291.241</v>
      </c>
      <c r="H21" s="5">
        <v>214.858</v>
      </c>
      <c r="I21" s="5">
        <v>212.027</v>
      </c>
      <c r="J21" s="5">
        <v>206.087</v>
      </c>
      <c r="K21" s="5">
        <v>17588875</v>
      </c>
      <c r="L21" s="5">
        <v>17599860</v>
      </c>
      <c r="M21" s="6">
        <f t="shared" si="0"/>
        <v>1.00062454250201</v>
      </c>
      <c r="N21" s="5">
        <v>20138000</v>
      </c>
      <c r="O21" s="6">
        <f t="shared" si="1"/>
        <v>1.14492825720804</v>
      </c>
      <c r="P21" s="5">
        <v>9303212</v>
      </c>
      <c r="Q21" s="1">
        <f t="shared" si="2"/>
        <v>0.528925926189139</v>
      </c>
      <c r="S21" s="4">
        <f t="shared" si="5"/>
        <v>1.12586812156237</v>
      </c>
      <c r="T21" s="4">
        <f t="shared" si="6"/>
        <v>1.22012697388074</v>
      </c>
      <c r="U21" s="4">
        <f t="shared" si="7"/>
        <v>1.65388768395871</v>
      </c>
      <c r="V21" s="4">
        <f t="shared" si="3"/>
        <v>1.67597051318936</v>
      </c>
      <c r="W21" s="4">
        <f t="shared" si="4"/>
        <v>1.72427664044797</v>
      </c>
    </row>
    <row r="22" spans="1:23">
      <c r="A22" s="5" t="s">
        <v>39</v>
      </c>
      <c r="B22" s="5">
        <v>504855</v>
      </c>
      <c r="C22" s="5">
        <v>504855</v>
      </c>
      <c r="D22" s="5">
        <v>17588875</v>
      </c>
      <c r="E22" s="5">
        <v>355.922</v>
      </c>
      <c r="F22" s="5">
        <v>318.95</v>
      </c>
      <c r="G22" s="5">
        <v>291.45</v>
      </c>
      <c r="H22" s="5">
        <v>215.225</v>
      </c>
      <c r="I22" s="5">
        <v>212.675</v>
      </c>
      <c r="J22" s="5">
        <v>204.921</v>
      </c>
      <c r="K22" s="5">
        <v>17588875</v>
      </c>
      <c r="L22" s="5">
        <v>17599860</v>
      </c>
      <c r="M22" s="6">
        <f t="shared" si="0"/>
        <v>1.00062454250201</v>
      </c>
      <c r="N22" s="5">
        <v>20138000</v>
      </c>
      <c r="O22" s="6">
        <f t="shared" si="1"/>
        <v>1.14492825720804</v>
      </c>
      <c r="P22" s="5">
        <v>9303212</v>
      </c>
      <c r="Q22" s="1">
        <f t="shared" si="2"/>
        <v>0.528925926189139</v>
      </c>
      <c r="S22" s="4">
        <f t="shared" si="5"/>
        <v>1.11591785546324</v>
      </c>
      <c r="T22" s="4">
        <f t="shared" si="6"/>
        <v>1.22121118545205</v>
      </c>
      <c r="U22" s="4">
        <f t="shared" si="7"/>
        <v>1.65372052503194</v>
      </c>
      <c r="V22" s="4">
        <f t="shared" si="3"/>
        <v>1.67354884213001</v>
      </c>
      <c r="W22" s="4">
        <f t="shared" si="4"/>
        <v>1.73687421006144</v>
      </c>
    </row>
    <row r="23" spans="1:23">
      <c r="A23" s="5" t="s">
        <v>40</v>
      </c>
      <c r="B23" s="5">
        <v>8205</v>
      </c>
      <c r="C23" s="5">
        <v>8205</v>
      </c>
      <c r="D23" s="5">
        <v>125567</v>
      </c>
      <c r="E23" s="5">
        <v>1.957</v>
      </c>
      <c r="F23" s="5">
        <v>1.863</v>
      </c>
      <c r="G23" s="5">
        <v>1.375</v>
      </c>
      <c r="H23" s="5">
        <v>1.418</v>
      </c>
      <c r="I23" s="5">
        <v>1.533</v>
      </c>
      <c r="J23" s="5">
        <v>1.698</v>
      </c>
      <c r="K23" s="5">
        <v>125567</v>
      </c>
      <c r="L23" s="5">
        <v>125916</v>
      </c>
      <c r="M23" s="6">
        <f t="shared" si="0"/>
        <v>1.00277939267483</v>
      </c>
      <c r="N23" s="5">
        <v>192324</v>
      </c>
      <c r="O23" s="6">
        <f t="shared" si="1"/>
        <v>1.53164446072615</v>
      </c>
      <c r="P23" s="5">
        <v>74962</v>
      </c>
      <c r="Q23" s="1">
        <f t="shared" si="2"/>
        <v>0.596988062150087</v>
      </c>
      <c r="S23" s="4">
        <f t="shared" si="5"/>
        <v>1.0504562533548</v>
      </c>
      <c r="T23" s="4">
        <f t="shared" si="6"/>
        <v>1.42327272727273</v>
      </c>
      <c r="U23" s="4">
        <f t="shared" si="7"/>
        <v>1.38011283497884</v>
      </c>
      <c r="V23" s="4">
        <f t="shared" si="3"/>
        <v>1.27658186562296</v>
      </c>
      <c r="W23" s="4">
        <f t="shared" si="4"/>
        <v>1.15253239104829</v>
      </c>
    </row>
    <row r="24" spans="1:23">
      <c r="A24" s="5" t="s">
        <v>41</v>
      </c>
      <c r="B24" s="5">
        <v>303813</v>
      </c>
      <c r="C24" s="5">
        <v>303813</v>
      </c>
      <c r="D24" s="5">
        <v>2006126</v>
      </c>
      <c r="E24" s="5">
        <v>61.254</v>
      </c>
      <c r="F24" s="5">
        <v>49.044</v>
      </c>
      <c r="G24" s="5">
        <v>36.312</v>
      </c>
      <c r="H24" s="5">
        <v>85.472</v>
      </c>
      <c r="I24" s="5">
        <v>50.549</v>
      </c>
      <c r="J24" s="5">
        <v>56.676</v>
      </c>
      <c r="K24" s="5">
        <v>2006126</v>
      </c>
      <c r="L24" s="5">
        <v>2075216</v>
      </c>
      <c r="M24" s="6">
        <f t="shared" si="0"/>
        <v>1.03443951177543</v>
      </c>
      <c r="N24" s="5">
        <v>6273440</v>
      </c>
      <c r="O24" s="6">
        <f t="shared" si="1"/>
        <v>3.12714156538523</v>
      </c>
      <c r="P24" s="5">
        <v>1390466</v>
      </c>
      <c r="Q24" s="1">
        <f t="shared" si="2"/>
        <v>0.693110004057572</v>
      </c>
      <c r="S24" s="4">
        <f t="shared" si="5"/>
        <v>1.24896011744556</v>
      </c>
      <c r="T24" s="4">
        <f t="shared" si="6"/>
        <v>1.68688037012558</v>
      </c>
      <c r="U24" s="4">
        <f t="shared" si="7"/>
        <v>0.716655746911269</v>
      </c>
      <c r="V24" s="4">
        <f t="shared" si="3"/>
        <v>1.21177471364419</v>
      </c>
      <c r="W24" s="4">
        <f t="shared" si="4"/>
        <v>1.0807749311878</v>
      </c>
    </row>
    <row r="25" spans="1:23">
      <c r="A25" s="5" t="s">
        <v>42</v>
      </c>
      <c r="B25" s="5">
        <v>80800</v>
      </c>
      <c r="C25" s="5">
        <v>80800</v>
      </c>
      <c r="D25" s="5">
        <v>542184</v>
      </c>
      <c r="E25" s="5">
        <v>9.635</v>
      </c>
      <c r="F25" s="5">
        <v>12.088</v>
      </c>
      <c r="G25" s="5">
        <v>7.472</v>
      </c>
      <c r="H25" s="5">
        <v>13.411</v>
      </c>
      <c r="I25" s="5">
        <v>9.544</v>
      </c>
      <c r="J25" s="5">
        <v>8.819</v>
      </c>
      <c r="K25" s="5">
        <v>542184</v>
      </c>
      <c r="L25" s="5">
        <v>542472</v>
      </c>
      <c r="M25" s="6">
        <f t="shared" si="0"/>
        <v>1.00053118498517</v>
      </c>
      <c r="N25" s="5">
        <v>1528736</v>
      </c>
      <c r="O25" s="6">
        <f t="shared" si="1"/>
        <v>2.81958892184203</v>
      </c>
      <c r="P25" s="5">
        <v>312392</v>
      </c>
      <c r="Q25" s="1">
        <f t="shared" si="2"/>
        <v>0.576173402387381</v>
      </c>
      <c r="S25" s="4">
        <f t="shared" si="5"/>
        <v>0.797071475843812</v>
      </c>
      <c r="T25" s="4">
        <f t="shared" si="6"/>
        <v>1.28948072805139</v>
      </c>
      <c r="U25" s="4">
        <f t="shared" si="7"/>
        <v>0.71844008649616</v>
      </c>
      <c r="V25" s="4">
        <f t="shared" si="3"/>
        <v>1.00953478625314</v>
      </c>
      <c r="W25" s="4">
        <f t="shared" si="4"/>
        <v>1.09252749744869</v>
      </c>
    </row>
    <row r="26" spans="1:23">
      <c r="A26" s="5" t="s">
        <v>43</v>
      </c>
      <c r="B26" s="5">
        <v>715176</v>
      </c>
      <c r="C26" s="5">
        <v>715176</v>
      </c>
      <c r="D26" s="5">
        <v>4817870</v>
      </c>
      <c r="E26" s="5">
        <v>109.882</v>
      </c>
      <c r="F26" s="5">
        <v>132.719</v>
      </c>
      <c r="G26" s="5">
        <v>93.256</v>
      </c>
      <c r="H26" s="5">
        <v>169.128</v>
      </c>
      <c r="I26" s="5">
        <v>95.854</v>
      </c>
      <c r="J26" s="5">
        <v>95.55</v>
      </c>
      <c r="K26" s="5">
        <v>4817870</v>
      </c>
      <c r="L26" s="5">
        <v>4820288</v>
      </c>
      <c r="M26" s="6">
        <f t="shared" si="0"/>
        <v>1.00050188153686</v>
      </c>
      <c r="N26" s="5">
        <v>13569088</v>
      </c>
      <c r="O26" s="6">
        <f t="shared" si="1"/>
        <v>2.81640808074938</v>
      </c>
      <c r="P26" s="5">
        <v>2769200</v>
      </c>
      <c r="Q26" s="1">
        <f t="shared" si="2"/>
        <v>0.574776820462154</v>
      </c>
      <c r="S26" s="4">
        <f t="shared" si="5"/>
        <v>0.827929686028376</v>
      </c>
      <c r="T26" s="4">
        <f t="shared" si="6"/>
        <v>1.17828343484602</v>
      </c>
      <c r="U26" s="4">
        <f t="shared" si="7"/>
        <v>0.649697270706211</v>
      </c>
      <c r="V26" s="4">
        <f t="shared" si="3"/>
        <v>1.14634757026311</v>
      </c>
      <c r="W26" s="4">
        <f t="shared" si="4"/>
        <v>1.14999476713762</v>
      </c>
    </row>
    <row r="27" spans="1:23">
      <c r="A27" s="5" t="s">
        <v>44</v>
      </c>
      <c r="B27" s="5">
        <v>16706</v>
      </c>
      <c r="C27" s="5">
        <v>16706</v>
      </c>
      <c r="D27" s="5">
        <v>242502</v>
      </c>
      <c r="E27" s="5">
        <v>4.461</v>
      </c>
      <c r="F27" s="5">
        <v>4.634</v>
      </c>
      <c r="G27" s="5">
        <v>2.862</v>
      </c>
      <c r="H27" s="5">
        <v>5.202</v>
      </c>
      <c r="I27" s="5">
        <v>5.344</v>
      </c>
      <c r="J27" s="5">
        <v>4.721</v>
      </c>
      <c r="K27" s="5">
        <v>242502</v>
      </c>
      <c r="L27" s="5">
        <v>250592</v>
      </c>
      <c r="M27" s="6">
        <f t="shared" si="0"/>
        <v>1.03336054960371</v>
      </c>
      <c r="N27" s="5">
        <v>637876</v>
      </c>
      <c r="O27" s="6">
        <f t="shared" si="1"/>
        <v>2.63039480086762</v>
      </c>
      <c r="P27" s="5">
        <v>186510</v>
      </c>
      <c r="Q27" s="1">
        <f t="shared" si="2"/>
        <v>0.769107058910854</v>
      </c>
      <c r="S27" s="4">
        <f t="shared" si="5"/>
        <v>0.962667242123435</v>
      </c>
      <c r="T27" s="4">
        <f t="shared" si="6"/>
        <v>1.55870020964361</v>
      </c>
      <c r="U27" s="4">
        <f t="shared" si="7"/>
        <v>0.857554786620531</v>
      </c>
      <c r="V27" s="4">
        <f t="shared" si="3"/>
        <v>0.834767964071856</v>
      </c>
      <c r="W27" s="4">
        <f t="shared" si="4"/>
        <v>0.944926922262233</v>
      </c>
    </row>
    <row r="28" spans="1:23">
      <c r="A28" s="5" t="s">
        <v>45</v>
      </c>
      <c r="B28" s="5">
        <v>943695</v>
      </c>
      <c r="C28" s="5">
        <v>943695</v>
      </c>
      <c r="D28" s="5">
        <v>77651847</v>
      </c>
      <c r="E28" s="5">
        <v>1638.37</v>
      </c>
      <c r="F28" s="5">
        <v>1347.36</v>
      </c>
      <c r="G28" s="5">
        <v>1292.55</v>
      </c>
      <c r="H28" s="5">
        <v>1019.62</v>
      </c>
      <c r="I28" s="5">
        <v>956.413</v>
      </c>
      <c r="J28" s="5">
        <v>898.861</v>
      </c>
      <c r="K28" s="5">
        <v>77651847</v>
      </c>
      <c r="L28" s="5">
        <v>77866044</v>
      </c>
      <c r="M28" s="6">
        <f t="shared" si="0"/>
        <v>1.00275842762633</v>
      </c>
      <c r="N28" s="5">
        <v>99914796</v>
      </c>
      <c r="O28" s="6">
        <f t="shared" si="1"/>
        <v>1.28670211798053</v>
      </c>
      <c r="P28" s="5">
        <v>41056208</v>
      </c>
      <c r="Q28" s="1">
        <f t="shared" si="2"/>
        <v>0.5287215898419</v>
      </c>
      <c r="S28" s="4">
        <f t="shared" si="5"/>
        <v>1.21598533428334</v>
      </c>
      <c r="T28" s="4">
        <f t="shared" si="6"/>
        <v>1.26754864415303</v>
      </c>
      <c r="U28" s="4">
        <f t="shared" si="7"/>
        <v>1.60684372609403</v>
      </c>
      <c r="V28" s="4">
        <f t="shared" si="3"/>
        <v>1.71303610469536</v>
      </c>
      <c r="W28" s="4">
        <f t="shared" si="4"/>
        <v>1.82271786182736</v>
      </c>
    </row>
    <row r="29" spans="1:23">
      <c r="A29" s="5" t="s">
        <v>46</v>
      </c>
      <c r="B29" s="5">
        <v>35543</v>
      </c>
      <c r="C29" s="5">
        <v>35543</v>
      </c>
      <c r="D29" s="5">
        <v>128115</v>
      </c>
      <c r="E29" s="5">
        <v>2.946</v>
      </c>
      <c r="F29" s="5">
        <v>2.634</v>
      </c>
      <c r="G29" s="5">
        <v>1.753</v>
      </c>
      <c r="H29" s="5">
        <v>4.664</v>
      </c>
      <c r="I29" s="5">
        <v>3.407</v>
      </c>
      <c r="J29" s="5">
        <v>2.358</v>
      </c>
      <c r="K29" s="5">
        <v>128115</v>
      </c>
      <c r="L29" s="5">
        <v>128180</v>
      </c>
      <c r="M29" s="6">
        <f t="shared" si="0"/>
        <v>1.00050735667174</v>
      </c>
      <c r="N29" s="5">
        <v>409240</v>
      </c>
      <c r="O29" s="6">
        <f t="shared" si="1"/>
        <v>3.19431760527651</v>
      </c>
      <c r="P29" s="5">
        <v>111524</v>
      </c>
      <c r="Q29" s="1">
        <f t="shared" si="2"/>
        <v>0.87049916091012</v>
      </c>
      <c r="S29" s="4">
        <f t="shared" si="5"/>
        <v>1.11845102505695</v>
      </c>
      <c r="T29" s="4">
        <f t="shared" si="6"/>
        <v>1.68054763262978</v>
      </c>
      <c r="U29" s="4">
        <f t="shared" si="7"/>
        <v>0.631646655231561</v>
      </c>
      <c r="V29" s="4">
        <f t="shared" si="3"/>
        <v>0.864690343410625</v>
      </c>
      <c r="W29" s="4">
        <f t="shared" si="4"/>
        <v>1.24936386768448</v>
      </c>
    </row>
    <row r="30" spans="1:23">
      <c r="A30" s="5" t="s">
        <v>47</v>
      </c>
      <c r="B30" s="5">
        <v>3948</v>
      </c>
      <c r="C30" s="5">
        <v>3948</v>
      </c>
      <c r="D30" s="5">
        <v>117816</v>
      </c>
      <c r="E30" s="5">
        <v>1.821</v>
      </c>
      <c r="F30" s="5">
        <v>1.637</v>
      </c>
      <c r="G30" s="5">
        <v>1.264</v>
      </c>
      <c r="H30" s="5">
        <v>1.339</v>
      </c>
      <c r="I30" s="5">
        <v>1.513</v>
      </c>
      <c r="J30" s="5">
        <v>1.402</v>
      </c>
      <c r="K30" s="5">
        <v>117816</v>
      </c>
      <c r="L30" s="5">
        <v>118244</v>
      </c>
      <c r="M30" s="6">
        <f t="shared" si="0"/>
        <v>1.00363278332315</v>
      </c>
      <c r="N30" s="5">
        <v>195480</v>
      </c>
      <c r="O30" s="6">
        <f t="shared" si="1"/>
        <v>1.65919739254431</v>
      </c>
      <c r="P30" s="5">
        <v>68792</v>
      </c>
      <c r="Q30" s="1">
        <f t="shared" si="2"/>
        <v>0.58389352889251</v>
      </c>
      <c r="S30" s="4">
        <f t="shared" si="5"/>
        <v>1.11240073304826</v>
      </c>
      <c r="T30" s="4">
        <f t="shared" si="6"/>
        <v>1.44066455696203</v>
      </c>
      <c r="U30" s="4">
        <f t="shared" si="7"/>
        <v>1.35997012696042</v>
      </c>
      <c r="V30" s="4">
        <f t="shared" si="3"/>
        <v>1.20356906807667</v>
      </c>
      <c r="W30" s="4">
        <f t="shared" si="4"/>
        <v>1.29885877318117</v>
      </c>
    </row>
    <row r="31" spans="1:23">
      <c r="A31" s="5" t="s">
        <v>48</v>
      </c>
      <c r="B31" s="5">
        <v>4884</v>
      </c>
      <c r="C31" s="5">
        <v>4884</v>
      </c>
      <c r="D31" s="5">
        <v>290378</v>
      </c>
      <c r="E31" s="5">
        <v>4.67</v>
      </c>
      <c r="F31" s="5">
        <v>3.661</v>
      </c>
      <c r="G31" s="5">
        <v>3.099</v>
      </c>
      <c r="H31" s="5">
        <v>2.401</v>
      </c>
      <c r="I31" s="5">
        <v>2.46</v>
      </c>
      <c r="J31" s="5">
        <v>3.149</v>
      </c>
      <c r="K31" s="5">
        <v>290378</v>
      </c>
      <c r="L31" s="5">
        <v>291204</v>
      </c>
      <c r="M31" s="6">
        <f t="shared" si="0"/>
        <v>1.00284456811466</v>
      </c>
      <c r="N31" s="5">
        <v>376264</v>
      </c>
      <c r="O31" s="6">
        <f t="shared" si="1"/>
        <v>1.29577309575794</v>
      </c>
      <c r="P31" s="5">
        <v>150772</v>
      </c>
      <c r="Q31" s="1">
        <f t="shared" si="2"/>
        <v>0.519226663176962</v>
      </c>
      <c r="S31" s="4">
        <f t="shared" si="5"/>
        <v>1.27560775744332</v>
      </c>
      <c r="T31" s="4">
        <f t="shared" si="6"/>
        <v>1.50693772184576</v>
      </c>
      <c r="U31" s="4">
        <f t="shared" si="7"/>
        <v>1.94502290712203</v>
      </c>
      <c r="V31" s="4">
        <f t="shared" si="3"/>
        <v>1.89837398373984</v>
      </c>
      <c r="W31" s="4">
        <f t="shared" si="4"/>
        <v>1.48301047951731</v>
      </c>
    </row>
    <row r="32" spans="1:23">
      <c r="A32" s="5" t="s">
        <v>49</v>
      </c>
      <c r="B32" s="5">
        <v>10974</v>
      </c>
      <c r="C32" s="5">
        <v>10974</v>
      </c>
      <c r="D32" s="5">
        <v>428650</v>
      </c>
      <c r="E32" s="5">
        <v>6.894</v>
      </c>
      <c r="F32" s="5">
        <v>5.716</v>
      </c>
      <c r="G32" s="5">
        <v>4.796</v>
      </c>
      <c r="H32" s="5">
        <v>3.83</v>
      </c>
      <c r="I32" s="5">
        <v>4.155</v>
      </c>
      <c r="J32" s="5">
        <v>4.897</v>
      </c>
      <c r="K32" s="5">
        <v>428650</v>
      </c>
      <c r="L32" s="5">
        <v>430604</v>
      </c>
      <c r="M32" s="6">
        <f t="shared" si="0"/>
        <v>1.00455849760877</v>
      </c>
      <c r="N32" s="5">
        <v>541080</v>
      </c>
      <c r="O32" s="6">
        <f t="shared" si="1"/>
        <v>1.26228858042692</v>
      </c>
      <c r="P32" s="5">
        <v>224476</v>
      </c>
      <c r="Q32" s="1">
        <f t="shared" si="2"/>
        <v>0.5236813250904</v>
      </c>
      <c r="S32" s="4">
        <f t="shared" si="5"/>
        <v>1.20608817354794</v>
      </c>
      <c r="T32" s="4">
        <f t="shared" si="6"/>
        <v>1.43744787322769</v>
      </c>
      <c r="U32" s="4">
        <f t="shared" si="7"/>
        <v>1.8</v>
      </c>
      <c r="V32" s="4">
        <f t="shared" si="3"/>
        <v>1.65920577617329</v>
      </c>
      <c r="W32" s="4">
        <f t="shared" si="4"/>
        <v>1.40780069430263</v>
      </c>
    </row>
    <row r="33" spans="1:23">
      <c r="A33" s="5" t="s">
        <v>50</v>
      </c>
      <c r="B33" s="5">
        <v>11948</v>
      </c>
      <c r="C33" s="5">
        <v>11948</v>
      </c>
      <c r="D33" s="5">
        <v>149090</v>
      </c>
      <c r="E33" s="5">
        <v>2.582</v>
      </c>
      <c r="F33" s="5">
        <v>2.713</v>
      </c>
      <c r="G33" s="5">
        <v>1.647</v>
      </c>
      <c r="H33" s="5">
        <v>2.759</v>
      </c>
      <c r="I33" s="5">
        <v>3.793</v>
      </c>
      <c r="J33" s="5">
        <v>2.869</v>
      </c>
      <c r="K33" s="5">
        <v>149090</v>
      </c>
      <c r="L33" s="5">
        <v>150376</v>
      </c>
      <c r="M33" s="6">
        <f t="shared" si="0"/>
        <v>1.0086256623516</v>
      </c>
      <c r="N33" s="5">
        <v>339956</v>
      </c>
      <c r="O33" s="6">
        <f t="shared" si="1"/>
        <v>2.28020658662553</v>
      </c>
      <c r="P33" s="5">
        <v>106416</v>
      </c>
      <c r="Q33" s="1">
        <f t="shared" si="2"/>
        <v>0.71377020591589</v>
      </c>
      <c r="S33" s="4">
        <f t="shared" si="5"/>
        <v>0.951713969775157</v>
      </c>
      <c r="T33" s="4">
        <f t="shared" si="6"/>
        <v>1.56769884638737</v>
      </c>
      <c r="U33" s="4">
        <f t="shared" si="7"/>
        <v>0.935846321130845</v>
      </c>
      <c r="V33" s="4">
        <f t="shared" si="3"/>
        <v>0.680727656208806</v>
      </c>
      <c r="W33" s="4">
        <f t="shared" si="4"/>
        <v>0.899965144649704</v>
      </c>
    </row>
    <row r="34" spans="1:23">
      <c r="A34" s="5" t="s">
        <v>51</v>
      </c>
      <c r="B34" s="5">
        <v>3600</v>
      </c>
      <c r="C34" s="5">
        <v>3600</v>
      </c>
      <c r="D34" s="5">
        <v>26600</v>
      </c>
      <c r="E34" s="5">
        <v>0.389</v>
      </c>
      <c r="F34" s="5">
        <v>0.482</v>
      </c>
      <c r="G34" s="5">
        <v>0.267</v>
      </c>
      <c r="H34" s="5">
        <v>0.575</v>
      </c>
      <c r="I34" s="5">
        <v>0.448</v>
      </c>
      <c r="J34" s="5">
        <v>0.407</v>
      </c>
      <c r="K34" s="5">
        <v>26600</v>
      </c>
      <c r="L34" s="5">
        <v>26620</v>
      </c>
      <c r="M34" s="6">
        <f t="shared" si="0"/>
        <v>1.00075187969925</v>
      </c>
      <c r="N34" s="5">
        <v>83440</v>
      </c>
      <c r="O34" s="6">
        <f t="shared" si="1"/>
        <v>3.13684210526316</v>
      </c>
      <c r="P34" s="5">
        <v>18540</v>
      </c>
      <c r="Q34" s="1">
        <f t="shared" si="2"/>
        <v>0.696992481203007</v>
      </c>
      <c r="S34" s="4">
        <f t="shared" si="5"/>
        <v>0.807053941908714</v>
      </c>
      <c r="T34" s="4">
        <f t="shared" si="6"/>
        <v>1.45692883895131</v>
      </c>
      <c r="U34" s="4">
        <f t="shared" si="7"/>
        <v>0.676521739130435</v>
      </c>
      <c r="V34" s="4">
        <f t="shared" si="3"/>
        <v>0.868303571428571</v>
      </c>
      <c r="W34" s="4">
        <f t="shared" si="4"/>
        <v>0.955773955773956</v>
      </c>
    </row>
    <row r="35" spans="1:23">
      <c r="A35" s="5" t="s">
        <v>52</v>
      </c>
      <c r="B35" s="5">
        <v>3134</v>
      </c>
      <c r="C35" s="5">
        <v>3134</v>
      </c>
      <c r="D35" s="5">
        <v>45178</v>
      </c>
      <c r="E35" s="5">
        <v>0.712</v>
      </c>
      <c r="F35" s="5">
        <v>0.707</v>
      </c>
      <c r="G35" s="5">
        <v>0.449</v>
      </c>
      <c r="H35" s="5">
        <v>0.756</v>
      </c>
      <c r="I35" s="5">
        <v>0.677</v>
      </c>
      <c r="J35" s="5">
        <v>0.713</v>
      </c>
      <c r="K35" s="5">
        <v>45178</v>
      </c>
      <c r="L35" s="5">
        <v>45392</v>
      </c>
      <c r="M35" s="6">
        <f t="shared" si="0"/>
        <v>1.00473681880561</v>
      </c>
      <c r="N35" s="5">
        <v>103076</v>
      </c>
      <c r="O35" s="6">
        <f t="shared" si="1"/>
        <v>2.28155296825889</v>
      </c>
      <c r="P35" s="5">
        <v>27434</v>
      </c>
      <c r="Q35" s="1">
        <f t="shared" si="2"/>
        <v>0.607242463145779</v>
      </c>
      <c r="S35" s="4">
        <f t="shared" si="5"/>
        <v>1.00707213578501</v>
      </c>
      <c r="T35" s="4">
        <f t="shared" si="6"/>
        <v>1.58574610244989</v>
      </c>
      <c r="U35" s="4">
        <f t="shared" si="7"/>
        <v>0.941798941798942</v>
      </c>
      <c r="V35" s="4">
        <f t="shared" si="3"/>
        <v>1.05169867060561</v>
      </c>
      <c r="W35" s="4">
        <f t="shared" si="4"/>
        <v>0.99859747545582</v>
      </c>
    </row>
    <row r="36" spans="1:23">
      <c r="A36" s="5" t="s">
        <v>53</v>
      </c>
      <c r="B36" s="5">
        <v>3562</v>
      </c>
      <c r="C36" s="5">
        <v>3562</v>
      </c>
      <c r="D36" s="5">
        <v>159910</v>
      </c>
      <c r="E36" s="5">
        <v>2.454</v>
      </c>
      <c r="F36" s="5">
        <v>1.993</v>
      </c>
      <c r="G36" s="5">
        <v>1.673</v>
      </c>
      <c r="H36" s="5">
        <v>1.172</v>
      </c>
      <c r="I36" s="5">
        <v>1.366</v>
      </c>
      <c r="J36" s="5">
        <v>1.711</v>
      </c>
      <c r="K36" s="5">
        <v>159910</v>
      </c>
      <c r="L36" s="5">
        <v>159992</v>
      </c>
      <c r="M36" s="6">
        <f t="shared" si="0"/>
        <v>1.0005127884435</v>
      </c>
      <c r="N36" s="5">
        <v>179424</v>
      </c>
      <c r="O36" s="6">
        <f t="shared" si="1"/>
        <v>1.12203114251767</v>
      </c>
      <c r="P36" s="5">
        <v>83662</v>
      </c>
      <c r="Q36" s="1">
        <f t="shared" si="2"/>
        <v>0.523181789756738</v>
      </c>
      <c r="S36" s="4">
        <f t="shared" si="5"/>
        <v>1.2313095835424</v>
      </c>
      <c r="T36" s="4">
        <f t="shared" si="6"/>
        <v>1.46682606096832</v>
      </c>
      <c r="U36" s="4">
        <f t="shared" si="7"/>
        <v>2.0938566552901</v>
      </c>
      <c r="V36" s="4">
        <f t="shared" si="3"/>
        <v>1.79648609077599</v>
      </c>
      <c r="W36" s="4">
        <f t="shared" si="4"/>
        <v>1.43424897720631</v>
      </c>
    </row>
    <row r="37" spans="1:23">
      <c r="A37" s="5" t="s">
        <v>54</v>
      </c>
      <c r="B37" s="5">
        <v>15439</v>
      </c>
      <c r="C37" s="5">
        <v>15439</v>
      </c>
      <c r="D37" s="5">
        <v>252241</v>
      </c>
      <c r="E37" s="5">
        <v>4.087</v>
      </c>
      <c r="F37" s="5">
        <v>4.111</v>
      </c>
      <c r="G37" s="5">
        <v>2.817</v>
      </c>
      <c r="H37" s="5">
        <v>3.973</v>
      </c>
      <c r="I37" s="5">
        <v>5.199</v>
      </c>
      <c r="J37" s="5">
        <v>3.839</v>
      </c>
      <c r="K37" s="5">
        <v>252241</v>
      </c>
      <c r="L37" s="5">
        <v>254080</v>
      </c>
      <c r="M37" s="6">
        <f t="shared" si="0"/>
        <v>1.00729064664349</v>
      </c>
      <c r="N37" s="5">
        <v>506904</v>
      </c>
      <c r="O37" s="6">
        <f t="shared" si="1"/>
        <v>2.00960192831459</v>
      </c>
      <c r="P37" s="5">
        <v>162666</v>
      </c>
      <c r="Q37" s="1">
        <f t="shared" si="2"/>
        <v>0.64488326639999</v>
      </c>
      <c r="S37" s="4">
        <f t="shared" si="5"/>
        <v>0.994162004378497</v>
      </c>
      <c r="T37" s="4">
        <f t="shared" si="6"/>
        <v>1.45083422080227</v>
      </c>
      <c r="U37" s="4">
        <f t="shared" si="7"/>
        <v>1.0286936823559</v>
      </c>
      <c r="V37" s="4">
        <f t="shared" si="3"/>
        <v>0.786112713983458</v>
      </c>
      <c r="W37" s="4">
        <f t="shared" si="4"/>
        <v>1.0646001562907</v>
      </c>
    </row>
    <row r="38" spans="1:23">
      <c r="A38" s="5" t="s">
        <v>55</v>
      </c>
      <c r="B38" s="5">
        <v>4410</v>
      </c>
      <c r="C38" s="5">
        <v>4410</v>
      </c>
      <c r="D38" s="5">
        <v>219024</v>
      </c>
      <c r="E38" s="5">
        <v>3.401</v>
      </c>
      <c r="F38" s="5">
        <v>2.676</v>
      </c>
      <c r="G38" s="5">
        <v>2.292</v>
      </c>
      <c r="H38" s="5">
        <v>1.605</v>
      </c>
      <c r="I38" s="5">
        <v>1.912</v>
      </c>
      <c r="J38" s="5">
        <v>2.347</v>
      </c>
      <c r="K38" s="5">
        <v>219024</v>
      </c>
      <c r="L38" s="5">
        <v>219580</v>
      </c>
      <c r="M38" s="6">
        <f t="shared" si="0"/>
        <v>1.00253853458982</v>
      </c>
      <c r="N38" s="5">
        <v>244124</v>
      </c>
      <c r="O38" s="6">
        <f t="shared" si="1"/>
        <v>1.11459931331726</v>
      </c>
      <c r="P38" s="5">
        <v>113940</v>
      </c>
      <c r="Q38" s="1">
        <f t="shared" si="2"/>
        <v>0.520216962524655</v>
      </c>
      <c r="S38" s="4">
        <f t="shared" si="5"/>
        <v>1.27092675635277</v>
      </c>
      <c r="T38" s="4">
        <f t="shared" si="6"/>
        <v>1.48385689354276</v>
      </c>
      <c r="U38" s="4">
        <f t="shared" si="7"/>
        <v>2.1190031152648</v>
      </c>
      <c r="V38" s="4">
        <f t="shared" si="3"/>
        <v>1.77876569037657</v>
      </c>
      <c r="W38" s="4">
        <f t="shared" si="4"/>
        <v>1.44908393694078</v>
      </c>
    </row>
    <row r="39" spans="1:23">
      <c r="A39" s="5" t="s">
        <v>56</v>
      </c>
      <c r="B39" s="5">
        <v>30237</v>
      </c>
      <c r="C39" s="5">
        <v>30237</v>
      </c>
      <c r="D39" s="5">
        <v>1450163</v>
      </c>
      <c r="E39" s="5">
        <v>23.37</v>
      </c>
      <c r="F39" s="5">
        <v>18.853</v>
      </c>
      <c r="G39" s="5">
        <v>16.677</v>
      </c>
      <c r="H39" s="5">
        <v>11.988</v>
      </c>
      <c r="I39" s="5">
        <v>13.751</v>
      </c>
      <c r="J39" s="5">
        <v>15.861</v>
      </c>
      <c r="K39" s="5">
        <v>1450163</v>
      </c>
      <c r="L39" s="5">
        <v>1455688</v>
      </c>
      <c r="M39" s="6">
        <f t="shared" si="0"/>
        <v>1.00380991654042</v>
      </c>
      <c r="N39" s="5">
        <v>1632524</v>
      </c>
      <c r="O39" s="6">
        <f t="shared" si="1"/>
        <v>1.1257520706293</v>
      </c>
      <c r="P39" s="5">
        <v>757282</v>
      </c>
      <c r="Q39" s="1">
        <f t="shared" si="2"/>
        <v>0.522204745259671</v>
      </c>
      <c r="S39" s="4">
        <f t="shared" si="5"/>
        <v>1.23959051609823</v>
      </c>
      <c r="T39" s="4">
        <f t="shared" si="6"/>
        <v>1.4013311746717</v>
      </c>
      <c r="U39" s="4">
        <f t="shared" si="7"/>
        <v>1.94944944944945</v>
      </c>
      <c r="V39" s="4">
        <f t="shared" si="3"/>
        <v>1.69951276270817</v>
      </c>
      <c r="W39" s="4">
        <f t="shared" si="4"/>
        <v>1.47342538301494</v>
      </c>
    </row>
    <row r="40" spans="1:23">
      <c r="A40" s="5" t="s">
        <v>57</v>
      </c>
      <c r="B40" s="5">
        <v>23052</v>
      </c>
      <c r="C40" s="5">
        <v>23052</v>
      </c>
      <c r="D40" s="5">
        <v>1143140</v>
      </c>
      <c r="E40" s="5">
        <v>18.35</v>
      </c>
      <c r="F40" s="5">
        <v>14.948</v>
      </c>
      <c r="G40" s="5">
        <v>12.932</v>
      </c>
      <c r="H40" s="5">
        <v>9.18</v>
      </c>
      <c r="I40" s="5">
        <v>11.08</v>
      </c>
      <c r="J40" s="5">
        <v>12.779</v>
      </c>
      <c r="K40" s="5">
        <v>1143140</v>
      </c>
      <c r="L40" s="5">
        <v>1147724</v>
      </c>
      <c r="M40" s="6">
        <f t="shared" si="0"/>
        <v>1.00401000752314</v>
      </c>
      <c r="N40" s="5">
        <v>1297884</v>
      </c>
      <c r="O40" s="6">
        <f t="shared" si="1"/>
        <v>1.13536749654461</v>
      </c>
      <c r="P40" s="5">
        <v>596124</v>
      </c>
      <c r="Q40" s="1">
        <f t="shared" si="2"/>
        <v>0.521479433840125</v>
      </c>
      <c r="S40" s="4">
        <f t="shared" si="5"/>
        <v>1.22758897511373</v>
      </c>
      <c r="T40" s="4">
        <f t="shared" si="6"/>
        <v>1.41896071759975</v>
      </c>
      <c r="U40" s="4">
        <f t="shared" si="7"/>
        <v>1.99891067538126</v>
      </c>
      <c r="V40" s="4">
        <f t="shared" si="3"/>
        <v>1.65613718411552</v>
      </c>
      <c r="W40" s="4">
        <f t="shared" si="4"/>
        <v>1.43594960482041</v>
      </c>
    </row>
    <row r="41" spans="1:23">
      <c r="A41" s="5" t="s">
        <v>58</v>
      </c>
      <c r="B41" s="5">
        <v>25503</v>
      </c>
      <c r="C41" s="5">
        <v>25503</v>
      </c>
      <c r="D41" s="5">
        <v>1140977</v>
      </c>
      <c r="E41" s="5">
        <v>18.531</v>
      </c>
      <c r="F41" s="5">
        <v>15.412</v>
      </c>
      <c r="G41" s="5">
        <v>13.308</v>
      </c>
      <c r="H41" s="5">
        <v>9.809</v>
      </c>
      <c r="I41" s="5">
        <v>11.8</v>
      </c>
      <c r="J41" s="5">
        <v>13.132</v>
      </c>
      <c r="K41" s="5">
        <v>1140977</v>
      </c>
      <c r="L41" s="5">
        <v>1144616</v>
      </c>
      <c r="M41" s="6">
        <f t="shared" si="0"/>
        <v>1.00318937191547</v>
      </c>
      <c r="N41" s="5">
        <v>1344936</v>
      </c>
      <c r="O41" s="6">
        <f t="shared" si="1"/>
        <v>1.17875820459133</v>
      </c>
      <c r="P41" s="5">
        <v>601626</v>
      </c>
      <c r="Q41" s="1">
        <f t="shared" si="2"/>
        <v>0.527290208303936</v>
      </c>
      <c r="S41" s="4">
        <f t="shared" si="5"/>
        <v>1.20237477290423</v>
      </c>
      <c r="T41" s="4">
        <f t="shared" si="6"/>
        <v>1.39247069431921</v>
      </c>
      <c r="U41" s="4">
        <f t="shared" si="7"/>
        <v>1.88918340299725</v>
      </c>
      <c r="V41" s="4">
        <f t="shared" si="3"/>
        <v>1.57042372881356</v>
      </c>
      <c r="W41" s="4">
        <f t="shared" si="4"/>
        <v>1.4111331099604</v>
      </c>
    </row>
    <row r="42" spans="1:23">
      <c r="A42" s="5" t="s">
        <v>59</v>
      </c>
      <c r="B42" s="5">
        <v>8032</v>
      </c>
      <c r="C42" s="5">
        <v>8032</v>
      </c>
      <c r="D42" s="5">
        <v>355460</v>
      </c>
      <c r="E42" s="5">
        <v>5.767</v>
      </c>
      <c r="F42" s="5">
        <v>4.807</v>
      </c>
      <c r="G42" s="5">
        <v>3.946</v>
      </c>
      <c r="H42" s="5">
        <v>3.043</v>
      </c>
      <c r="I42" s="5">
        <v>4.055</v>
      </c>
      <c r="J42" s="5">
        <v>4.276</v>
      </c>
      <c r="K42" s="5">
        <v>355460</v>
      </c>
      <c r="L42" s="5">
        <v>358184</v>
      </c>
      <c r="M42" s="6">
        <f t="shared" si="0"/>
        <v>1.00766330951443</v>
      </c>
      <c r="N42" s="5">
        <v>443560</v>
      </c>
      <c r="O42" s="6">
        <f t="shared" si="1"/>
        <v>1.24784785911214</v>
      </c>
      <c r="P42" s="5">
        <v>188788</v>
      </c>
      <c r="Q42" s="1">
        <f t="shared" si="2"/>
        <v>0.531108985539864</v>
      </c>
      <c r="S42" s="4">
        <f t="shared" si="5"/>
        <v>1.19970875806116</v>
      </c>
      <c r="T42" s="4">
        <f t="shared" si="6"/>
        <v>1.46147997972631</v>
      </c>
      <c r="U42" s="4">
        <f t="shared" si="7"/>
        <v>1.89516924088071</v>
      </c>
      <c r="V42" s="4">
        <f t="shared" si="3"/>
        <v>1.42219482120838</v>
      </c>
      <c r="W42" s="4">
        <f t="shared" si="4"/>
        <v>1.34869036482694</v>
      </c>
    </row>
    <row r="43" spans="1:23">
      <c r="A43" s="5" t="s">
        <v>60</v>
      </c>
      <c r="B43" s="5">
        <v>46772</v>
      </c>
      <c r="C43" s="5">
        <v>46772</v>
      </c>
      <c r="D43" s="5">
        <v>2089294</v>
      </c>
      <c r="E43" s="5">
        <v>34.153</v>
      </c>
      <c r="F43" s="5">
        <v>27.916</v>
      </c>
      <c r="G43" s="5">
        <v>25.208</v>
      </c>
      <c r="H43" s="5">
        <v>23</v>
      </c>
      <c r="I43" s="5">
        <v>21.271</v>
      </c>
      <c r="J43" s="5">
        <v>22.606</v>
      </c>
      <c r="K43" s="5">
        <v>2089294</v>
      </c>
      <c r="L43" s="5">
        <v>2090432</v>
      </c>
      <c r="M43" s="6">
        <f t="shared" si="0"/>
        <v>1.00054468160058</v>
      </c>
      <c r="N43" s="5">
        <v>3181292</v>
      </c>
      <c r="O43" s="6">
        <f t="shared" si="1"/>
        <v>1.52266363661601</v>
      </c>
      <c r="P43" s="5">
        <v>1091612</v>
      </c>
      <c r="Q43" s="1">
        <f t="shared" si="2"/>
        <v>0.522478885211942</v>
      </c>
      <c r="S43" s="4">
        <f t="shared" si="5"/>
        <v>1.22342026078235</v>
      </c>
      <c r="T43" s="4">
        <f t="shared" si="6"/>
        <v>1.35484766740717</v>
      </c>
      <c r="U43" s="4">
        <f t="shared" si="7"/>
        <v>1.48491304347826</v>
      </c>
      <c r="V43" s="4">
        <f t="shared" si="3"/>
        <v>1.60561327629166</v>
      </c>
      <c r="W43" s="4">
        <f t="shared" si="4"/>
        <v>1.5107935946209</v>
      </c>
    </row>
    <row r="44" spans="1:23">
      <c r="A44" s="5" t="s">
        <v>61</v>
      </c>
      <c r="B44" s="5">
        <v>3600</v>
      </c>
      <c r="C44" s="5">
        <v>3600</v>
      </c>
      <c r="D44" s="5">
        <v>3600</v>
      </c>
      <c r="E44" s="5">
        <v>0.088</v>
      </c>
      <c r="F44" s="5">
        <v>0.097</v>
      </c>
      <c r="G44" s="5">
        <v>0.056</v>
      </c>
      <c r="H44" s="5">
        <v>0.245</v>
      </c>
      <c r="I44" s="5">
        <v>0.186</v>
      </c>
      <c r="J44" s="5">
        <v>0.117</v>
      </c>
      <c r="K44" s="5">
        <v>3600</v>
      </c>
      <c r="L44" s="5">
        <v>3600</v>
      </c>
      <c r="M44" s="6">
        <f t="shared" si="0"/>
        <v>1</v>
      </c>
      <c r="N44" s="5">
        <v>14400</v>
      </c>
      <c r="O44" s="6">
        <f t="shared" si="1"/>
        <v>4</v>
      </c>
      <c r="P44" s="5">
        <v>3600</v>
      </c>
      <c r="Q44" s="1">
        <f t="shared" si="2"/>
        <v>1</v>
      </c>
      <c r="S44" s="4">
        <f t="shared" si="5"/>
        <v>0.907216494845361</v>
      </c>
      <c r="T44" s="4">
        <f t="shared" si="6"/>
        <v>1.57142857142857</v>
      </c>
      <c r="U44" s="4">
        <f t="shared" si="7"/>
        <v>0.359183673469388</v>
      </c>
      <c r="V44" s="4">
        <f t="shared" si="3"/>
        <v>0.473118279569892</v>
      </c>
      <c r="W44" s="4">
        <f t="shared" si="4"/>
        <v>0.752136752136752</v>
      </c>
    </row>
    <row r="45" spans="1:23">
      <c r="A45" s="5" t="s">
        <v>62</v>
      </c>
      <c r="B45" s="5">
        <v>3134</v>
      </c>
      <c r="C45" s="5">
        <v>3134</v>
      </c>
      <c r="D45" s="5">
        <v>3134</v>
      </c>
      <c r="E45" s="5">
        <v>0.077</v>
      </c>
      <c r="F45" s="5">
        <v>0.085</v>
      </c>
      <c r="G45" s="5">
        <v>0.05</v>
      </c>
      <c r="H45" s="5">
        <v>0.222</v>
      </c>
      <c r="I45" s="5">
        <v>0.162</v>
      </c>
      <c r="J45" s="5">
        <v>0.106</v>
      </c>
      <c r="K45" s="5">
        <v>3134</v>
      </c>
      <c r="L45" s="5">
        <v>3132</v>
      </c>
      <c r="M45" s="6">
        <f t="shared" si="0"/>
        <v>0.999361837906828</v>
      </c>
      <c r="N45" s="5">
        <v>12536</v>
      </c>
      <c r="O45" s="6">
        <f t="shared" si="1"/>
        <v>4</v>
      </c>
      <c r="P45" s="5">
        <v>3134</v>
      </c>
      <c r="Q45" s="1">
        <f t="shared" si="2"/>
        <v>1</v>
      </c>
      <c r="S45" s="4">
        <f t="shared" si="5"/>
        <v>0.905882352941176</v>
      </c>
      <c r="T45" s="4">
        <f t="shared" si="6"/>
        <v>1.54</v>
      </c>
      <c r="U45" s="4">
        <f t="shared" si="7"/>
        <v>0.346846846846847</v>
      </c>
      <c r="V45" s="4">
        <f t="shared" si="3"/>
        <v>0.475308641975309</v>
      </c>
      <c r="W45" s="4">
        <f t="shared" si="4"/>
        <v>0.726415094339623</v>
      </c>
    </row>
    <row r="46" spans="1:23">
      <c r="A46" s="5" t="s">
        <v>63</v>
      </c>
      <c r="B46" s="5">
        <v>3562</v>
      </c>
      <c r="C46" s="5">
        <v>3562</v>
      </c>
      <c r="D46" s="5">
        <v>3562</v>
      </c>
      <c r="E46" s="5">
        <v>0.087</v>
      </c>
      <c r="F46" s="5">
        <v>0.097</v>
      </c>
      <c r="G46" s="5">
        <v>0.055</v>
      </c>
      <c r="H46" s="5">
        <v>0.23</v>
      </c>
      <c r="I46" s="5">
        <v>0.22</v>
      </c>
      <c r="J46" s="5">
        <v>0.116</v>
      </c>
      <c r="K46" s="5">
        <v>3562</v>
      </c>
      <c r="L46" s="5">
        <v>3560</v>
      </c>
      <c r="M46" s="6">
        <f t="shared" si="0"/>
        <v>0.999438517686693</v>
      </c>
      <c r="N46" s="5">
        <v>14248</v>
      </c>
      <c r="O46" s="6">
        <f t="shared" si="1"/>
        <v>4</v>
      </c>
      <c r="P46" s="5">
        <v>3562</v>
      </c>
      <c r="Q46" s="1">
        <f t="shared" si="2"/>
        <v>1</v>
      </c>
      <c r="S46" s="4">
        <f t="shared" si="5"/>
        <v>0.896907216494845</v>
      </c>
      <c r="T46" s="4">
        <f t="shared" si="6"/>
        <v>1.58181818181818</v>
      </c>
      <c r="U46" s="4">
        <f t="shared" si="7"/>
        <v>0.378260869565217</v>
      </c>
      <c r="V46" s="4">
        <f t="shared" si="3"/>
        <v>0.395454545454545</v>
      </c>
      <c r="W46" s="4">
        <f t="shared" si="4"/>
        <v>0.75</v>
      </c>
    </row>
    <row r="47" spans="1:23">
      <c r="A47" s="5" t="s">
        <v>64</v>
      </c>
      <c r="B47" s="5">
        <v>15439</v>
      </c>
      <c r="C47" s="5">
        <v>15439</v>
      </c>
      <c r="D47" s="5">
        <v>15439</v>
      </c>
      <c r="E47" s="5">
        <v>0.408</v>
      </c>
      <c r="F47" s="5">
        <v>0.429</v>
      </c>
      <c r="G47" s="5">
        <v>0.272</v>
      </c>
      <c r="H47" s="5">
        <v>1.007</v>
      </c>
      <c r="I47" s="5">
        <v>0.975</v>
      </c>
      <c r="J47" s="5">
        <v>0.416</v>
      </c>
      <c r="K47" s="5">
        <v>15439</v>
      </c>
      <c r="L47" s="5">
        <v>15436</v>
      </c>
      <c r="M47" s="6">
        <f t="shared" si="0"/>
        <v>0.99980568689682</v>
      </c>
      <c r="N47" s="5">
        <v>61756</v>
      </c>
      <c r="O47" s="6">
        <f t="shared" si="1"/>
        <v>4</v>
      </c>
      <c r="P47" s="5">
        <v>15438</v>
      </c>
      <c r="Q47" s="1">
        <f t="shared" si="2"/>
        <v>0.999935228965607</v>
      </c>
      <c r="S47" s="4">
        <f t="shared" si="5"/>
        <v>0.951048951048951</v>
      </c>
      <c r="T47" s="4">
        <f t="shared" si="6"/>
        <v>1.5</v>
      </c>
      <c r="U47" s="4">
        <f t="shared" si="7"/>
        <v>0.405163853028798</v>
      </c>
      <c r="V47" s="4">
        <f t="shared" si="3"/>
        <v>0.418461538461538</v>
      </c>
      <c r="W47" s="4">
        <f t="shared" si="4"/>
        <v>0.980769230769231</v>
      </c>
    </row>
    <row r="48" spans="1:23">
      <c r="A48" s="5" t="s">
        <v>65</v>
      </c>
      <c r="B48" s="5">
        <v>30237</v>
      </c>
      <c r="C48" s="5">
        <v>30237</v>
      </c>
      <c r="D48" s="5">
        <v>20619</v>
      </c>
      <c r="E48" s="5">
        <v>0.659</v>
      </c>
      <c r="F48" s="5">
        <v>0.84</v>
      </c>
      <c r="G48" s="5">
        <v>0.472</v>
      </c>
      <c r="H48" s="5">
        <v>1.195</v>
      </c>
      <c r="I48" s="5">
        <v>1.715</v>
      </c>
      <c r="J48" s="5">
        <v>0.724</v>
      </c>
      <c r="K48" s="5">
        <v>20619</v>
      </c>
      <c r="L48" s="5">
        <v>20924</v>
      </c>
      <c r="M48" s="6">
        <f t="shared" si="0"/>
        <v>1.01479218196809</v>
      </c>
      <c r="N48" s="5">
        <v>67268</v>
      </c>
      <c r="O48" s="6">
        <f t="shared" si="1"/>
        <v>3.26242785780106</v>
      </c>
      <c r="P48" s="5">
        <v>33292</v>
      </c>
      <c r="Q48" s="1">
        <f t="shared" si="2"/>
        <v>1.61462728551336</v>
      </c>
      <c r="S48" s="4">
        <f t="shared" si="5"/>
        <v>0.78452380952381</v>
      </c>
      <c r="T48" s="4">
        <f t="shared" si="6"/>
        <v>1.39618644067797</v>
      </c>
      <c r="U48" s="4">
        <f t="shared" si="7"/>
        <v>0.551464435146443</v>
      </c>
      <c r="V48" s="4">
        <f t="shared" si="3"/>
        <v>0.384256559766764</v>
      </c>
      <c r="W48" s="4">
        <f t="shared" si="4"/>
        <v>0.910220994475138</v>
      </c>
    </row>
    <row r="49" spans="1:23">
      <c r="A49" s="5" t="s">
        <v>66</v>
      </c>
      <c r="B49" s="5">
        <v>23052</v>
      </c>
      <c r="C49" s="5">
        <v>23052</v>
      </c>
      <c r="D49" s="5">
        <v>320606</v>
      </c>
      <c r="E49" s="5">
        <v>5.263</v>
      </c>
      <c r="F49" s="5">
        <v>4.963</v>
      </c>
      <c r="G49" s="5">
        <v>3.801</v>
      </c>
      <c r="H49" s="5">
        <v>3.316</v>
      </c>
      <c r="I49" s="5">
        <v>4.535</v>
      </c>
      <c r="J49" s="5">
        <v>4.435</v>
      </c>
      <c r="K49" s="5">
        <v>320606</v>
      </c>
      <c r="L49" s="5">
        <v>324120</v>
      </c>
      <c r="M49" s="6">
        <f t="shared" si="0"/>
        <v>1.01096049356531</v>
      </c>
      <c r="N49" s="5">
        <v>432592</v>
      </c>
      <c r="O49" s="6">
        <f t="shared" si="1"/>
        <v>1.34929477302359</v>
      </c>
      <c r="P49" s="5">
        <v>196486</v>
      </c>
      <c r="Q49" s="1">
        <f t="shared" si="2"/>
        <v>0.612858149878667</v>
      </c>
      <c r="S49" s="4">
        <f t="shared" si="5"/>
        <v>1.0604473100947</v>
      </c>
      <c r="T49" s="4">
        <f t="shared" si="6"/>
        <v>1.38463562220468</v>
      </c>
      <c r="U49" s="4">
        <f t="shared" si="7"/>
        <v>1.58715319662244</v>
      </c>
      <c r="V49" s="4">
        <f t="shared" si="3"/>
        <v>1.16052921719956</v>
      </c>
      <c r="W49" s="4">
        <f t="shared" si="4"/>
        <v>1.18669673055242</v>
      </c>
    </row>
    <row r="50" spans="1:23">
      <c r="A50" s="5" t="s">
        <v>67</v>
      </c>
      <c r="B50" s="5">
        <v>25503</v>
      </c>
      <c r="C50" s="5">
        <v>25503</v>
      </c>
      <c r="D50" s="5">
        <v>15525</v>
      </c>
      <c r="E50" s="5">
        <v>0.597</v>
      </c>
      <c r="F50" s="5">
        <v>0.731</v>
      </c>
      <c r="G50" s="5">
        <v>0.379</v>
      </c>
      <c r="H50" s="5">
        <v>1.13</v>
      </c>
      <c r="I50" s="5">
        <v>1.383</v>
      </c>
      <c r="J50" s="5">
        <v>0.658</v>
      </c>
      <c r="K50" s="5">
        <v>15525</v>
      </c>
      <c r="L50" s="5">
        <v>15708</v>
      </c>
      <c r="M50" s="6">
        <f t="shared" si="0"/>
        <v>1.01178743961353</v>
      </c>
      <c r="N50" s="5">
        <v>57724</v>
      </c>
      <c r="O50" s="6">
        <f t="shared" si="1"/>
        <v>3.71813204508857</v>
      </c>
      <c r="P50" s="5">
        <v>26522</v>
      </c>
      <c r="Q50" s="1">
        <f t="shared" si="2"/>
        <v>1.70834138486312</v>
      </c>
      <c r="S50" s="4">
        <f t="shared" si="5"/>
        <v>0.816689466484268</v>
      </c>
      <c r="T50" s="4">
        <f t="shared" si="6"/>
        <v>1.57519788918206</v>
      </c>
      <c r="U50" s="4">
        <f t="shared" si="7"/>
        <v>0.528318584070796</v>
      </c>
      <c r="V50" s="4">
        <f t="shared" si="3"/>
        <v>0.431670281995662</v>
      </c>
      <c r="W50" s="4">
        <f t="shared" si="4"/>
        <v>0.907294832826748</v>
      </c>
    </row>
    <row r="51" spans="1:23">
      <c r="A51" s="5" t="s">
        <v>68</v>
      </c>
      <c r="B51" s="5">
        <v>8032</v>
      </c>
      <c r="C51" s="5">
        <v>8032</v>
      </c>
      <c r="D51" s="5">
        <v>10485</v>
      </c>
      <c r="E51" s="5">
        <v>0.296</v>
      </c>
      <c r="F51" s="5">
        <v>0.342</v>
      </c>
      <c r="G51" s="5">
        <v>0.166</v>
      </c>
      <c r="H51" s="5">
        <v>0.429</v>
      </c>
      <c r="I51" s="5">
        <v>0.538</v>
      </c>
      <c r="J51" s="5">
        <v>0.348</v>
      </c>
      <c r="K51" s="5">
        <v>10485</v>
      </c>
      <c r="L51" s="5">
        <v>10680</v>
      </c>
      <c r="M51" s="6">
        <f t="shared" si="0"/>
        <v>1.01859799713877</v>
      </c>
      <c r="N51" s="5">
        <v>27220</v>
      </c>
      <c r="O51" s="6">
        <f t="shared" si="1"/>
        <v>2.59608965188364</v>
      </c>
      <c r="P51" s="5">
        <v>11520</v>
      </c>
      <c r="Q51" s="1">
        <f t="shared" si="2"/>
        <v>1.09871244635193</v>
      </c>
      <c r="S51" s="4">
        <f t="shared" si="5"/>
        <v>0.865497076023392</v>
      </c>
      <c r="T51" s="4">
        <f t="shared" si="6"/>
        <v>1.78313253012048</v>
      </c>
      <c r="U51" s="4">
        <f t="shared" si="7"/>
        <v>0.68997668997669</v>
      </c>
      <c r="V51" s="4">
        <f t="shared" si="3"/>
        <v>0.550185873605948</v>
      </c>
      <c r="W51" s="4">
        <f t="shared" si="4"/>
        <v>0.850574712643678</v>
      </c>
    </row>
    <row r="52" spans="1:23">
      <c r="A52" s="5" t="s">
        <v>69</v>
      </c>
      <c r="B52" s="5">
        <v>46772</v>
      </c>
      <c r="C52" s="5">
        <v>46772</v>
      </c>
      <c r="D52" s="5">
        <v>46772</v>
      </c>
      <c r="E52" s="5">
        <v>1.323</v>
      </c>
      <c r="F52" s="5">
        <v>1.532</v>
      </c>
      <c r="G52" s="5">
        <v>0.911</v>
      </c>
      <c r="H52" s="5">
        <v>3.163</v>
      </c>
      <c r="I52" s="5">
        <v>2.626</v>
      </c>
      <c r="J52" s="5">
        <v>1.281</v>
      </c>
      <c r="K52" s="5">
        <v>46772</v>
      </c>
      <c r="L52" s="5">
        <v>46772</v>
      </c>
      <c r="M52" s="6">
        <f t="shared" si="0"/>
        <v>1</v>
      </c>
      <c r="N52" s="5">
        <v>187088</v>
      </c>
      <c r="O52" s="6">
        <f t="shared" si="1"/>
        <v>4</v>
      </c>
      <c r="P52" s="5">
        <v>46772</v>
      </c>
      <c r="Q52" s="1">
        <f t="shared" si="2"/>
        <v>1</v>
      </c>
      <c r="S52" s="4">
        <f t="shared" si="5"/>
        <v>0.863577023498694</v>
      </c>
      <c r="T52" s="4">
        <f t="shared" si="6"/>
        <v>1.45225027442371</v>
      </c>
      <c r="U52" s="4">
        <f t="shared" si="7"/>
        <v>0.418273790705027</v>
      </c>
      <c r="V52" s="4">
        <f t="shared" si="3"/>
        <v>0.503808073115004</v>
      </c>
      <c r="W52" s="4">
        <f t="shared" si="4"/>
        <v>1.0327868852459</v>
      </c>
    </row>
    <row r="53" spans="1:23">
      <c r="A53" s="5" t="s">
        <v>70</v>
      </c>
      <c r="B53" s="5">
        <v>245874</v>
      </c>
      <c r="C53" s="5">
        <v>245874</v>
      </c>
      <c r="D53" s="5">
        <v>13150496</v>
      </c>
      <c r="E53" s="5">
        <v>258.859</v>
      </c>
      <c r="F53" s="5">
        <v>207.532</v>
      </c>
      <c r="G53" s="5">
        <v>205.975</v>
      </c>
      <c r="H53" s="5">
        <v>131.733</v>
      </c>
      <c r="I53" s="5">
        <v>146.593</v>
      </c>
      <c r="J53" s="5">
        <v>137.279</v>
      </c>
      <c r="K53" s="5">
        <v>13150496</v>
      </c>
      <c r="L53" s="5">
        <v>13155140</v>
      </c>
      <c r="M53" s="6">
        <f t="shared" si="0"/>
        <v>1.00035314257348</v>
      </c>
      <c r="N53" s="5">
        <v>14594664</v>
      </c>
      <c r="O53" s="6">
        <f t="shared" si="1"/>
        <v>1.10981851939273</v>
      </c>
      <c r="P53" s="5">
        <v>6821118</v>
      </c>
      <c r="Q53" s="1">
        <f t="shared" si="2"/>
        <v>0.51869663319163</v>
      </c>
      <c r="S53" s="4">
        <f t="shared" si="5"/>
        <v>1.24732089509088</v>
      </c>
      <c r="T53" s="4">
        <f t="shared" si="6"/>
        <v>1.25674960553465</v>
      </c>
      <c r="U53" s="4">
        <f t="shared" si="7"/>
        <v>1.96502774551555</v>
      </c>
      <c r="V53" s="4">
        <f t="shared" si="3"/>
        <v>1.76583465786224</v>
      </c>
      <c r="W53" s="4">
        <f t="shared" si="4"/>
        <v>1.88564164948754</v>
      </c>
    </row>
    <row r="54" spans="1:23">
      <c r="A54" s="5" t="s">
        <v>71</v>
      </c>
      <c r="B54" s="5">
        <v>8219</v>
      </c>
      <c r="C54" s="5">
        <v>8219</v>
      </c>
      <c r="D54" s="5">
        <v>242669</v>
      </c>
      <c r="E54" s="5">
        <v>3.738</v>
      </c>
      <c r="F54" s="5">
        <v>3.379</v>
      </c>
      <c r="G54" s="5">
        <v>2.655</v>
      </c>
      <c r="H54" s="5">
        <v>4.653</v>
      </c>
      <c r="I54" s="5">
        <v>3.417</v>
      </c>
      <c r="J54" s="5">
        <v>3.064</v>
      </c>
      <c r="K54" s="5">
        <v>242669</v>
      </c>
      <c r="L54" s="5">
        <v>243136</v>
      </c>
      <c r="M54" s="6">
        <f t="shared" si="0"/>
        <v>1.0019244320453</v>
      </c>
      <c r="N54" s="5">
        <v>697116</v>
      </c>
      <c r="O54" s="6">
        <f t="shared" si="1"/>
        <v>2.87270314708512</v>
      </c>
      <c r="P54" s="5">
        <v>166992</v>
      </c>
      <c r="Q54" s="1">
        <f t="shared" si="2"/>
        <v>0.688147229353564</v>
      </c>
      <c r="S54" s="4">
        <f t="shared" si="5"/>
        <v>1.10624445102101</v>
      </c>
      <c r="T54" s="4">
        <f t="shared" si="6"/>
        <v>1.40790960451977</v>
      </c>
      <c r="U54" s="4">
        <f t="shared" si="7"/>
        <v>0.803352675693101</v>
      </c>
      <c r="V54" s="4">
        <f t="shared" si="3"/>
        <v>1.09394205443371</v>
      </c>
      <c r="W54" s="4">
        <f t="shared" si="4"/>
        <v>1.21997389033943</v>
      </c>
    </row>
    <row r="55" spans="1:23">
      <c r="A55" s="5" t="s">
        <v>72</v>
      </c>
      <c r="B55" s="5">
        <v>60012</v>
      </c>
      <c r="C55" s="5">
        <v>60012</v>
      </c>
      <c r="D55" s="5">
        <v>640033</v>
      </c>
      <c r="E55" s="5">
        <v>11.746</v>
      </c>
      <c r="F55" s="5">
        <v>10.656</v>
      </c>
      <c r="G55" s="5">
        <v>9.831</v>
      </c>
      <c r="H55" s="5">
        <v>8.969</v>
      </c>
      <c r="I55" s="5">
        <v>9.574</v>
      </c>
      <c r="J55" s="5">
        <v>10.476</v>
      </c>
      <c r="K55" s="5">
        <v>640033</v>
      </c>
      <c r="L55" s="5">
        <v>720060</v>
      </c>
      <c r="M55" s="6">
        <f t="shared" si="0"/>
        <v>1.12503574034464</v>
      </c>
      <c r="N55" s="5">
        <v>1040060</v>
      </c>
      <c r="O55" s="6">
        <f t="shared" si="1"/>
        <v>1.62500996042392</v>
      </c>
      <c r="P55" s="5">
        <v>380024</v>
      </c>
      <c r="Q55" s="1">
        <f t="shared" si="2"/>
        <v>0.593756884410648</v>
      </c>
      <c r="S55" s="4">
        <f t="shared" si="5"/>
        <v>1.10228978978979</v>
      </c>
      <c r="T55" s="4">
        <f t="shared" si="6"/>
        <v>1.1947919845387</v>
      </c>
      <c r="U55" s="4">
        <f t="shared" si="7"/>
        <v>1.30962203144163</v>
      </c>
      <c r="V55" s="4">
        <f t="shared" si="3"/>
        <v>1.22686442448297</v>
      </c>
      <c r="W55" s="4">
        <f t="shared" si="4"/>
        <v>1.12122947689958</v>
      </c>
    </row>
    <row r="56" spans="1:23">
      <c r="A56" s="5" t="s">
        <v>73</v>
      </c>
      <c r="B56" s="5">
        <v>30004</v>
      </c>
      <c r="C56" s="5">
        <v>30004</v>
      </c>
      <c r="D56" s="5">
        <v>150009</v>
      </c>
      <c r="E56" s="5">
        <v>3.584</v>
      </c>
      <c r="F56" s="5">
        <v>3.149</v>
      </c>
      <c r="G56" s="5">
        <v>2.386</v>
      </c>
      <c r="H56" s="5">
        <v>4.788</v>
      </c>
      <c r="I56" s="5">
        <v>3.651</v>
      </c>
      <c r="J56" s="5">
        <v>2.463</v>
      </c>
      <c r="K56" s="5">
        <v>150009</v>
      </c>
      <c r="L56" s="5">
        <v>180004</v>
      </c>
      <c r="M56" s="6">
        <f t="shared" si="0"/>
        <v>1.1999546693865</v>
      </c>
      <c r="N56" s="5">
        <v>340008</v>
      </c>
      <c r="O56" s="6">
        <f t="shared" si="1"/>
        <v>2.2665840049597</v>
      </c>
      <c r="P56" s="5">
        <v>130006</v>
      </c>
      <c r="Q56" s="1">
        <f t="shared" si="2"/>
        <v>0.866654667386623</v>
      </c>
      <c r="S56" s="4">
        <f t="shared" si="5"/>
        <v>1.13813909177517</v>
      </c>
      <c r="T56" s="4">
        <f t="shared" si="6"/>
        <v>1.50209555741827</v>
      </c>
      <c r="U56" s="4">
        <f t="shared" si="7"/>
        <v>0.748538011695906</v>
      </c>
      <c r="V56" s="4">
        <f t="shared" si="3"/>
        <v>0.981648863325116</v>
      </c>
      <c r="W56" s="4">
        <f t="shared" si="4"/>
        <v>1.45513601299229</v>
      </c>
    </row>
    <row r="57" spans="1:23">
      <c r="A57" s="5" t="s">
        <v>74</v>
      </c>
      <c r="B57" s="5">
        <v>30003</v>
      </c>
      <c r="C57" s="5">
        <v>30003</v>
      </c>
      <c r="D57" s="5">
        <v>120000</v>
      </c>
      <c r="E57" s="5">
        <v>3.255</v>
      </c>
      <c r="F57" s="5">
        <v>2.673</v>
      </c>
      <c r="G57" s="5">
        <v>1.903</v>
      </c>
      <c r="H57" s="5">
        <v>4.635</v>
      </c>
      <c r="I57" s="5">
        <v>2.659</v>
      </c>
      <c r="J57" s="5">
        <v>2.322</v>
      </c>
      <c r="K57" s="5">
        <v>120000</v>
      </c>
      <c r="L57" s="5">
        <v>149984</v>
      </c>
      <c r="M57" s="6">
        <f t="shared" si="0"/>
        <v>1.24986666666667</v>
      </c>
      <c r="N57" s="5">
        <v>290000</v>
      </c>
      <c r="O57" s="6">
        <f t="shared" si="1"/>
        <v>2.41666666666667</v>
      </c>
      <c r="P57" s="5">
        <v>80008</v>
      </c>
      <c r="Q57" s="1">
        <f t="shared" si="2"/>
        <v>0.666733333333333</v>
      </c>
      <c r="S57" s="4">
        <f t="shared" si="5"/>
        <v>1.21773288439955</v>
      </c>
      <c r="T57" s="4">
        <f t="shared" si="6"/>
        <v>1.71045717288492</v>
      </c>
      <c r="U57" s="4">
        <f t="shared" si="7"/>
        <v>0.702265372168285</v>
      </c>
      <c r="V57" s="4">
        <f t="shared" si="3"/>
        <v>1.22414441519368</v>
      </c>
      <c r="W57" s="4">
        <f t="shared" si="4"/>
        <v>1.40180878552972</v>
      </c>
    </row>
    <row r="58" spans="1:23">
      <c r="A58" s="5" t="s">
        <v>75</v>
      </c>
      <c r="B58" s="5">
        <v>10001</v>
      </c>
      <c r="C58" s="5">
        <v>10001</v>
      </c>
      <c r="D58" s="5">
        <v>69991</v>
      </c>
      <c r="E58" s="5">
        <v>1.102</v>
      </c>
      <c r="F58" s="5">
        <v>1.376</v>
      </c>
      <c r="G58" s="5">
        <v>1.115</v>
      </c>
      <c r="H58" s="5">
        <v>1.019</v>
      </c>
      <c r="I58" s="5">
        <v>1.185</v>
      </c>
      <c r="J58" s="5">
        <v>1.092</v>
      </c>
      <c r="K58" s="5">
        <v>69991</v>
      </c>
      <c r="L58" s="5">
        <v>99976</v>
      </c>
      <c r="M58" s="6">
        <f t="shared" si="0"/>
        <v>1.42841222442886</v>
      </c>
      <c r="N58" s="5">
        <v>129968</v>
      </c>
      <c r="O58" s="6">
        <f t="shared" si="1"/>
        <v>1.85692446171651</v>
      </c>
      <c r="P58" s="5">
        <v>39998</v>
      </c>
      <c r="Q58" s="1">
        <f t="shared" si="2"/>
        <v>0.571473475161092</v>
      </c>
      <c r="S58" s="4">
        <f t="shared" si="5"/>
        <v>0.800872093023256</v>
      </c>
      <c r="T58" s="4">
        <f t="shared" si="6"/>
        <v>0.988340807174888</v>
      </c>
      <c r="U58" s="4">
        <f t="shared" si="7"/>
        <v>1.08145240431796</v>
      </c>
      <c r="V58" s="4">
        <f t="shared" si="3"/>
        <v>0.929957805907173</v>
      </c>
      <c r="W58" s="4">
        <f t="shared" si="4"/>
        <v>1.00915750915751</v>
      </c>
    </row>
    <row r="59" spans="1:23">
      <c r="A59" s="5" t="s">
        <v>76</v>
      </c>
      <c r="B59" s="5">
        <v>227362</v>
      </c>
      <c r="C59" s="5">
        <v>227362</v>
      </c>
      <c r="D59" s="5">
        <v>11288630</v>
      </c>
      <c r="E59" s="5">
        <v>228.505</v>
      </c>
      <c r="F59" s="5">
        <v>198.266</v>
      </c>
      <c r="G59" s="5">
        <v>186.112</v>
      </c>
      <c r="H59" s="5">
        <v>129.566</v>
      </c>
      <c r="I59" s="5">
        <v>135.725</v>
      </c>
      <c r="J59" s="5">
        <v>134.543</v>
      </c>
      <c r="K59" s="5">
        <v>11288630</v>
      </c>
      <c r="L59" s="5">
        <v>11324684</v>
      </c>
      <c r="M59" s="6">
        <f t="shared" si="0"/>
        <v>1.00319383308692</v>
      </c>
      <c r="N59" s="5">
        <v>13309932</v>
      </c>
      <c r="O59" s="6">
        <f t="shared" si="1"/>
        <v>1.17905644883392</v>
      </c>
      <c r="P59" s="5">
        <v>5901180</v>
      </c>
      <c r="Q59" s="1">
        <f t="shared" si="2"/>
        <v>0.52275431119631</v>
      </c>
      <c r="S59" s="4">
        <f t="shared" si="5"/>
        <v>1.15251732520957</v>
      </c>
      <c r="T59" s="4">
        <f t="shared" si="6"/>
        <v>1.22778219566713</v>
      </c>
      <c r="U59" s="4">
        <f t="shared" si="7"/>
        <v>1.76361854190142</v>
      </c>
      <c r="V59" s="4">
        <f t="shared" si="3"/>
        <v>1.6835881377786</v>
      </c>
      <c r="W59" s="4">
        <f t="shared" si="4"/>
        <v>1.6983789569134</v>
      </c>
    </row>
    <row r="60" spans="1:23">
      <c r="A60" s="5" t="s">
        <v>77</v>
      </c>
      <c r="B60" s="5">
        <v>141347</v>
      </c>
      <c r="C60" s="5">
        <v>141347</v>
      </c>
      <c r="D60" s="5">
        <v>7339667</v>
      </c>
      <c r="E60" s="5">
        <v>178.265</v>
      </c>
      <c r="F60" s="5">
        <v>161.76</v>
      </c>
      <c r="G60" s="5">
        <v>123.52</v>
      </c>
      <c r="H60" s="5">
        <v>83.033</v>
      </c>
      <c r="I60" s="5">
        <v>73.597</v>
      </c>
      <c r="J60" s="5">
        <v>89.807</v>
      </c>
      <c r="K60" s="5">
        <v>7339667</v>
      </c>
      <c r="L60" s="5">
        <v>7364560</v>
      </c>
      <c r="M60" s="6">
        <f t="shared" si="0"/>
        <v>1.003391570762</v>
      </c>
      <c r="N60" s="5">
        <v>8442180</v>
      </c>
      <c r="O60" s="6">
        <f t="shared" si="1"/>
        <v>1.15021294562819</v>
      </c>
      <c r="P60" s="5">
        <v>3822930</v>
      </c>
      <c r="Q60" s="1">
        <f t="shared" si="2"/>
        <v>0.520858780105419</v>
      </c>
      <c r="S60" s="4">
        <f t="shared" si="5"/>
        <v>1.10203387734916</v>
      </c>
      <c r="T60" s="4">
        <f t="shared" si="6"/>
        <v>1.44320757772021</v>
      </c>
      <c r="U60" s="4">
        <f t="shared" si="7"/>
        <v>2.14691749063625</v>
      </c>
      <c r="V60" s="4">
        <f t="shared" si="3"/>
        <v>2.42217753441037</v>
      </c>
      <c r="W60" s="4">
        <f t="shared" si="4"/>
        <v>1.98497889919494</v>
      </c>
    </row>
    <row r="61" spans="1:23">
      <c r="A61" s="5" t="s">
        <v>78</v>
      </c>
      <c r="B61" s="5">
        <v>148770</v>
      </c>
      <c r="C61" s="5">
        <v>148770</v>
      </c>
      <c r="D61" s="5">
        <v>10644002</v>
      </c>
      <c r="E61" s="5">
        <v>211.729</v>
      </c>
      <c r="F61" s="5">
        <v>175.601</v>
      </c>
      <c r="G61" s="5">
        <v>168.367</v>
      </c>
      <c r="H61" s="5">
        <v>124.464</v>
      </c>
      <c r="I61" s="5">
        <v>104.74</v>
      </c>
      <c r="J61" s="5">
        <v>111.776</v>
      </c>
      <c r="K61" s="5">
        <v>10644002</v>
      </c>
      <c r="L61" s="5">
        <v>10684084</v>
      </c>
      <c r="M61" s="6">
        <f t="shared" si="0"/>
        <v>1.00376568888281</v>
      </c>
      <c r="N61" s="5">
        <v>13802176</v>
      </c>
      <c r="O61" s="6">
        <f t="shared" si="1"/>
        <v>1.29670926405313</v>
      </c>
      <c r="P61" s="5">
        <v>5553694</v>
      </c>
      <c r="Q61" s="1">
        <f t="shared" si="2"/>
        <v>0.521767470543504</v>
      </c>
      <c r="S61" s="4">
        <f t="shared" si="5"/>
        <v>1.20573914727137</v>
      </c>
      <c r="T61" s="4">
        <f t="shared" si="6"/>
        <v>1.25754453069782</v>
      </c>
      <c r="U61" s="4">
        <f t="shared" si="7"/>
        <v>1.70112643013241</v>
      </c>
      <c r="V61" s="4">
        <f t="shared" si="3"/>
        <v>2.02147221691808</v>
      </c>
      <c r="W61" s="4">
        <f t="shared" si="4"/>
        <v>1.89422595190381</v>
      </c>
    </row>
    <row r="62" spans="1:23">
      <c r="A62" s="5" t="s">
        <v>79</v>
      </c>
      <c r="B62" s="5">
        <v>17546</v>
      </c>
      <c r="C62" s="5">
        <v>17546</v>
      </c>
      <c r="D62" s="5">
        <v>121938</v>
      </c>
      <c r="E62" s="5">
        <v>2.12</v>
      </c>
      <c r="F62" s="5">
        <v>2.626</v>
      </c>
      <c r="G62" s="5">
        <v>1.517</v>
      </c>
      <c r="H62" s="5">
        <v>1.904</v>
      </c>
      <c r="I62" s="5">
        <v>2.238</v>
      </c>
      <c r="J62" s="5">
        <v>2.079</v>
      </c>
      <c r="K62" s="5">
        <v>121938</v>
      </c>
      <c r="L62" s="5">
        <v>122068</v>
      </c>
      <c r="M62" s="6">
        <f t="shared" si="0"/>
        <v>1.00106611556693</v>
      </c>
      <c r="N62" s="5">
        <v>210452</v>
      </c>
      <c r="O62" s="6">
        <f t="shared" si="1"/>
        <v>1.72589348685398</v>
      </c>
      <c r="P62" s="5">
        <v>71790</v>
      </c>
      <c r="Q62" s="1">
        <f t="shared" si="2"/>
        <v>0.588741819613246</v>
      </c>
      <c r="S62" s="4">
        <f t="shared" si="5"/>
        <v>0.807311500380807</v>
      </c>
      <c r="T62" s="4">
        <f t="shared" si="6"/>
        <v>1.39749505603164</v>
      </c>
      <c r="U62" s="4">
        <f t="shared" si="7"/>
        <v>1.11344537815126</v>
      </c>
      <c r="V62" s="4">
        <f t="shared" si="3"/>
        <v>0.947274352100089</v>
      </c>
      <c r="W62" s="4">
        <f t="shared" si="4"/>
        <v>1.01972101972102</v>
      </c>
    </row>
    <row r="63" spans="1:23">
      <c r="A63" s="5" t="s">
        <v>80</v>
      </c>
      <c r="B63" s="5">
        <v>18589</v>
      </c>
      <c r="C63" s="5">
        <v>18589</v>
      </c>
      <c r="D63" s="5">
        <v>129281</v>
      </c>
      <c r="E63" s="5">
        <v>2.157</v>
      </c>
      <c r="F63" s="5">
        <v>2.646</v>
      </c>
      <c r="G63" s="5">
        <v>1.549</v>
      </c>
      <c r="H63" s="5">
        <v>1.94</v>
      </c>
      <c r="I63" s="5">
        <v>2.345</v>
      </c>
      <c r="J63" s="5">
        <v>2.13</v>
      </c>
      <c r="K63" s="5">
        <v>129281</v>
      </c>
      <c r="L63" s="5">
        <v>129388</v>
      </c>
      <c r="M63" s="6">
        <f t="shared" si="0"/>
        <v>1.00082765448906</v>
      </c>
      <c r="N63" s="5">
        <v>223388</v>
      </c>
      <c r="O63" s="6">
        <f t="shared" si="1"/>
        <v>1.72792599067148</v>
      </c>
      <c r="P63" s="5">
        <v>75734</v>
      </c>
      <c r="Q63" s="1">
        <f t="shared" si="2"/>
        <v>0.58580920630255</v>
      </c>
      <c r="S63" s="4">
        <f t="shared" si="5"/>
        <v>0.815192743764172</v>
      </c>
      <c r="T63" s="4">
        <f t="shared" si="6"/>
        <v>1.39251129761136</v>
      </c>
      <c r="U63" s="4">
        <f t="shared" si="7"/>
        <v>1.11185567010309</v>
      </c>
      <c r="V63" s="4">
        <f t="shared" si="3"/>
        <v>0.919829424307036</v>
      </c>
      <c r="W63" s="4">
        <f t="shared" si="4"/>
        <v>1.01267605633803</v>
      </c>
    </row>
    <row r="64" spans="1:23">
      <c r="A64" s="5" t="s">
        <v>81</v>
      </c>
      <c r="B64" s="5">
        <v>19366</v>
      </c>
      <c r="C64" s="5">
        <v>19366</v>
      </c>
      <c r="D64" s="5">
        <v>134748</v>
      </c>
      <c r="E64" s="5">
        <v>2.35</v>
      </c>
      <c r="F64" s="5">
        <v>2.895</v>
      </c>
      <c r="G64" s="5">
        <v>1.707</v>
      </c>
      <c r="H64" s="5">
        <v>2.144</v>
      </c>
      <c r="I64" s="5">
        <v>2.382</v>
      </c>
      <c r="J64" s="5">
        <v>2.238</v>
      </c>
      <c r="K64" s="5">
        <v>134748</v>
      </c>
      <c r="L64" s="5">
        <v>134844</v>
      </c>
      <c r="M64" s="6">
        <f t="shared" si="0"/>
        <v>1.00071244100098</v>
      </c>
      <c r="N64" s="5">
        <v>233052</v>
      </c>
      <c r="O64" s="6">
        <f t="shared" si="1"/>
        <v>1.72953958500312</v>
      </c>
      <c r="P64" s="5">
        <v>78754</v>
      </c>
      <c r="Q64" s="1">
        <f t="shared" si="2"/>
        <v>0.584453943657791</v>
      </c>
      <c r="S64" s="4">
        <f t="shared" si="5"/>
        <v>0.811744386873921</v>
      </c>
      <c r="T64" s="4">
        <f t="shared" si="6"/>
        <v>1.37668424135911</v>
      </c>
      <c r="U64" s="4">
        <f t="shared" si="7"/>
        <v>1.09608208955224</v>
      </c>
      <c r="V64" s="4">
        <f t="shared" si="3"/>
        <v>0.98656591099916</v>
      </c>
      <c r="W64" s="4">
        <f t="shared" si="4"/>
        <v>1.05004468275246</v>
      </c>
    </row>
    <row r="65" spans="1:23">
      <c r="A65" s="5" t="s">
        <v>82</v>
      </c>
      <c r="B65" s="5">
        <v>986703</v>
      </c>
      <c r="C65" s="5">
        <v>986703</v>
      </c>
      <c r="D65" s="5">
        <v>71666325</v>
      </c>
      <c r="E65" s="5">
        <v>1429.09</v>
      </c>
      <c r="F65" s="5">
        <v>1185.7</v>
      </c>
      <c r="G65" s="5">
        <v>1206.13</v>
      </c>
      <c r="H65" s="5">
        <v>924.298</v>
      </c>
      <c r="I65" s="5">
        <v>718.63</v>
      </c>
      <c r="J65" s="5">
        <v>739.671</v>
      </c>
      <c r="K65" s="5">
        <v>71666325</v>
      </c>
      <c r="L65" s="5">
        <v>71831244</v>
      </c>
      <c r="M65" s="6">
        <f t="shared" si="0"/>
        <v>1.0023012063197</v>
      </c>
      <c r="N65" s="5">
        <v>95551188</v>
      </c>
      <c r="O65" s="6">
        <f t="shared" si="1"/>
        <v>1.33327874702658</v>
      </c>
      <c r="P65" s="5">
        <v>36733804</v>
      </c>
      <c r="Q65" s="1">
        <f t="shared" si="2"/>
        <v>0.512567150610834</v>
      </c>
      <c r="S65" s="4">
        <f t="shared" si="5"/>
        <v>1.20527114784515</v>
      </c>
      <c r="T65" s="4">
        <f t="shared" si="6"/>
        <v>1.18485569548888</v>
      </c>
      <c r="U65" s="4">
        <f t="shared" si="7"/>
        <v>1.54613555368507</v>
      </c>
      <c r="V65" s="4">
        <f t="shared" si="3"/>
        <v>1.98863114537384</v>
      </c>
      <c r="W65" s="4">
        <f t="shared" si="4"/>
        <v>1.93206168688511</v>
      </c>
    </row>
    <row r="66" spans="1:23">
      <c r="A66" s="5" t="s">
        <v>83</v>
      </c>
      <c r="B66" s="5">
        <v>127224</v>
      </c>
      <c r="C66" s="5">
        <v>127224</v>
      </c>
      <c r="D66" s="5">
        <v>6715152</v>
      </c>
      <c r="E66" s="5">
        <v>129.452</v>
      </c>
      <c r="F66" s="5">
        <v>108.107</v>
      </c>
      <c r="G66" s="5">
        <v>101.668</v>
      </c>
      <c r="H66" s="5">
        <v>76.366</v>
      </c>
      <c r="I66" s="5">
        <v>67.527</v>
      </c>
      <c r="J66" s="5">
        <v>73.502</v>
      </c>
      <c r="K66" s="5">
        <v>6715152</v>
      </c>
      <c r="L66" s="5">
        <v>6735504</v>
      </c>
      <c r="M66" s="6">
        <f t="shared" si="0"/>
        <v>1.00303075790392</v>
      </c>
      <c r="N66" s="5">
        <v>8953536</v>
      </c>
      <c r="O66" s="6">
        <f t="shared" si="1"/>
        <v>1.33333333333333</v>
      </c>
      <c r="P66" s="5">
        <v>3492616</v>
      </c>
      <c r="Q66" s="1">
        <f t="shared" si="2"/>
        <v>0.520109745840452</v>
      </c>
      <c r="S66" s="4">
        <f t="shared" ref="S66:S129" si="8">E66/F66</f>
        <v>1.19744327379356</v>
      </c>
      <c r="T66" s="4">
        <f t="shared" ref="T66:T129" si="9">E66/G66</f>
        <v>1.27328166187984</v>
      </c>
      <c r="U66" s="4">
        <f t="shared" ref="U66:U129" si="10">E66/H66</f>
        <v>1.69515229290522</v>
      </c>
      <c r="V66" s="4">
        <f t="shared" ref="V66:V129" si="11">E66/I66</f>
        <v>1.91704059117094</v>
      </c>
      <c r="W66" s="4">
        <f t="shared" ref="W66:W129" si="12">E66/J66</f>
        <v>1.76120377676798</v>
      </c>
    </row>
    <row r="67" spans="1:23">
      <c r="A67" s="5" t="s">
        <v>84</v>
      </c>
      <c r="B67" s="5">
        <v>914898</v>
      </c>
      <c r="C67" s="5">
        <v>914898</v>
      </c>
      <c r="D67" s="5">
        <v>55468422</v>
      </c>
      <c r="E67" s="5">
        <v>1104.93</v>
      </c>
      <c r="F67" s="5">
        <v>931.402</v>
      </c>
      <c r="G67" s="5">
        <v>875.119</v>
      </c>
      <c r="H67" s="5">
        <v>732.134</v>
      </c>
      <c r="I67" s="5">
        <v>598.309</v>
      </c>
      <c r="J67" s="5">
        <v>594.828</v>
      </c>
      <c r="K67" s="5">
        <v>55468422</v>
      </c>
      <c r="L67" s="5">
        <v>55620048</v>
      </c>
      <c r="M67" s="6">
        <f t="shared" ref="M67:M130" si="13">L67/K67</f>
        <v>1.0027335553191</v>
      </c>
      <c r="N67" s="5">
        <v>73948740</v>
      </c>
      <c r="O67" s="6">
        <f t="shared" ref="O67:O130" si="14">N67/K67</f>
        <v>1.33316826644176</v>
      </c>
      <c r="P67" s="5">
        <v>28686534</v>
      </c>
      <c r="Q67" s="1">
        <f t="shared" ref="Q67:Q130" si="15">P67/K67</f>
        <v>0.51716874152288</v>
      </c>
      <c r="S67" s="4">
        <f t="shared" si="8"/>
        <v>1.18630838241704</v>
      </c>
      <c r="T67" s="4">
        <f t="shared" si="9"/>
        <v>1.26260542851886</v>
      </c>
      <c r="U67" s="4">
        <f t="shared" si="10"/>
        <v>1.50919094045626</v>
      </c>
      <c r="V67" s="4">
        <f t="shared" si="11"/>
        <v>1.84675477052827</v>
      </c>
      <c r="W67" s="4">
        <f t="shared" si="12"/>
        <v>1.8575621860437</v>
      </c>
    </row>
    <row r="68" spans="1:23">
      <c r="A68" s="5" t="s">
        <v>85</v>
      </c>
      <c r="B68" s="5">
        <v>93279</v>
      </c>
      <c r="C68" s="5">
        <v>93279</v>
      </c>
      <c r="D68" s="5">
        <v>1211231</v>
      </c>
      <c r="E68" s="5">
        <v>23.623</v>
      </c>
      <c r="F68" s="5">
        <v>22.88</v>
      </c>
      <c r="G68" s="5">
        <v>18.512</v>
      </c>
      <c r="H68" s="5">
        <v>16.451</v>
      </c>
      <c r="I68" s="5">
        <v>22.756</v>
      </c>
      <c r="J68" s="5">
        <v>22.906</v>
      </c>
      <c r="K68" s="5">
        <v>1211231</v>
      </c>
      <c r="L68" s="5">
        <v>1370884</v>
      </c>
      <c r="M68" s="6">
        <f t="shared" si="13"/>
        <v>1.13181052994846</v>
      </c>
      <c r="N68" s="5">
        <v>1844568</v>
      </c>
      <c r="O68" s="6">
        <f t="shared" si="14"/>
        <v>1.52288704631899</v>
      </c>
      <c r="P68" s="5">
        <v>712490</v>
      </c>
      <c r="Q68" s="1">
        <f t="shared" si="15"/>
        <v>0.58823626541923</v>
      </c>
      <c r="S68" s="4">
        <f t="shared" si="8"/>
        <v>1.03247377622378</v>
      </c>
      <c r="T68" s="4">
        <f t="shared" si="9"/>
        <v>1.2760911840968</v>
      </c>
      <c r="U68" s="4">
        <f t="shared" si="10"/>
        <v>1.43596133973619</v>
      </c>
      <c r="V68" s="4">
        <f t="shared" si="11"/>
        <v>1.03809984179996</v>
      </c>
      <c r="W68" s="4">
        <f t="shared" si="12"/>
        <v>1.03130184231206</v>
      </c>
    </row>
    <row r="69" spans="1:23">
      <c r="A69" s="5" t="s">
        <v>86</v>
      </c>
      <c r="B69" s="5">
        <v>466316</v>
      </c>
      <c r="C69" s="5">
        <v>466316</v>
      </c>
      <c r="D69" s="5">
        <v>1500397</v>
      </c>
      <c r="E69" s="5">
        <v>55.846</v>
      </c>
      <c r="F69" s="5">
        <v>38.614</v>
      </c>
      <c r="G69" s="5">
        <v>33.19</v>
      </c>
      <c r="H69" s="5">
        <v>80.666</v>
      </c>
      <c r="I69" s="5">
        <v>45.49</v>
      </c>
      <c r="J69" s="5">
        <v>38.687</v>
      </c>
      <c r="K69" s="5">
        <v>1500397</v>
      </c>
      <c r="L69" s="5">
        <v>1717856</v>
      </c>
      <c r="M69" s="6">
        <f t="shared" si="13"/>
        <v>1.14493430738664</v>
      </c>
      <c r="N69" s="5">
        <v>5210296</v>
      </c>
      <c r="O69" s="6">
        <f t="shared" si="14"/>
        <v>3.47261158213459</v>
      </c>
      <c r="P69" s="5">
        <v>1076626</v>
      </c>
      <c r="Q69" s="1">
        <f t="shared" si="15"/>
        <v>0.717560752254237</v>
      </c>
      <c r="S69" s="4">
        <f t="shared" si="8"/>
        <v>1.44626301341482</v>
      </c>
      <c r="T69" s="4">
        <f t="shared" si="9"/>
        <v>1.68261524555589</v>
      </c>
      <c r="U69" s="4">
        <f t="shared" si="10"/>
        <v>0.692311506706667</v>
      </c>
      <c r="V69" s="4">
        <f t="shared" si="11"/>
        <v>1.22765442954495</v>
      </c>
      <c r="W69" s="4">
        <f t="shared" si="12"/>
        <v>1.44353400367048</v>
      </c>
    </row>
    <row r="70" spans="1:23">
      <c r="A70" s="5" t="s">
        <v>87</v>
      </c>
      <c r="B70" s="5">
        <v>27607</v>
      </c>
      <c r="C70" s="5">
        <v>27607</v>
      </c>
      <c r="D70" s="5">
        <v>179395</v>
      </c>
      <c r="E70" s="5">
        <v>3.395</v>
      </c>
      <c r="F70" s="5">
        <v>3.636</v>
      </c>
      <c r="G70" s="5">
        <v>2.376</v>
      </c>
      <c r="H70" s="5">
        <v>3.149</v>
      </c>
      <c r="I70" s="5">
        <v>2.891</v>
      </c>
      <c r="J70" s="5">
        <v>3.231</v>
      </c>
      <c r="K70" s="5">
        <v>179395</v>
      </c>
      <c r="L70" s="5">
        <v>193192</v>
      </c>
      <c r="M70" s="6">
        <f t="shared" si="13"/>
        <v>1.07690849800719</v>
      </c>
      <c r="N70" s="5">
        <v>372628</v>
      </c>
      <c r="O70" s="6">
        <f t="shared" si="14"/>
        <v>2.07713704395329</v>
      </c>
      <c r="P70" s="5">
        <v>110408</v>
      </c>
      <c r="Q70" s="1">
        <f t="shared" si="15"/>
        <v>0.615446361381309</v>
      </c>
      <c r="S70" s="4">
        <f t="shared" si="8"/>
        <v>0.933718371837184</v>
      </c>
      <c r="T70" s="4">
        <f t="shared" si="9"/>
        <v>1.42887205387205</v>
      </c>
      <c r="U70" s="4">
        <f t="shared" si="10"/>
        <v>1.07812003810734</v>
      </c>
      <c r="V70" s="4">
        <f t="shared" si="11"/>
        <v>1.17433414043584</v>
      </c>
      <c r="W70" s="4">
        <f t="shared" si="12"/>
        <v>1.05075827917054</v>
      </c>
    </row>
    <row r="71" spans="1:23">
      <c r="A71" s="5" t="s">
        <v>88</v>
      </c>
      <c r="B71" s="5">
        <v>27792</v>
      </c>
      <c r="C71" s="5">
        <v>27792</v>
      </c>
      <c r="D71" s="5">
        <v>173796</v>
      </c>
      <c r="E71" s="5">
        <v>3.256</v>
      </c>
      <c r="F71" s="5">
        <v>3.619</v>
      </c>
      <c r="G71" s="5">
        <v>2.115</v>
      </c>
      <c r="H71" s="5">
        <v>4.286</v>
      </c>
      <c r="I71" s="5">
        <v>3.274</v>
      </c>
      <c r="J71" s="5">
        <v>2.87</v>
      </c>
      <c r="K71" s="5">
        <v>173796</v>
      </c>
      <c r="L71" s="5">
        <v>173988</v>
      </c>
      <c r="M71" s="6">
        <f t="shared" si="13"/>
        <v>1.00110474349237</v>
      </c>
      <c r="N71" s="5">
        <v>504744</v>
      </c>
      <c r="O71" s="6">
        <f t="shared" si="14"/>
        <v>2.90423254850514</v>
      </c>
      <c r="P71" s="5">
        <v>116664</v>
      </c>
      <c r="Q71" s="1">
        <f t="shared" si="15"/>
        <v>0.671269764551543</v>
      </c>
      <c r="S71" s="4">
        <f t="shared" si="8"/>
        <v>0.899696048632219</v>
      </c>
      <c r="T71" s="4">
        <f t="shared" si="9"/>
        <v>1.53947990543735</v>
      </c>
      <c r="U71" s="4">
        <f t="shared" si="10"/>
        <v>0.759682687820812</v>
      </c>
      <c r="V71" s="4">
        <f t="shared" si="11"/>
        <v>0.994502138057422</v>
      </c>
      <c r="W71" s="4">
        <f t="shared" si="12"/>
        <v>1.13449477351916</v>
      </c>
    </row>
    <row r="72" spans="1:23">
      <c r="A72" s="5" t="s">
        <v>89</v>
      </c>
      <c r="B72" s="5">
        <v>2911419</v>
      </c>
      <c r="C72" s="5">
        <v>2911419</v>
      </c>
      <c r="D72" s="5">
        <v>127729899</v>
      </c>
      <c r="E72" s="5">
        <v>2492.14</v>
      </c>
      <c r="F72" s="5">
        <v>2161.49</v>
      </c>
      <c r="G72" s="5">
        <v>2104.36</v>
      </c>
      <c r="H72" s="5">
        <v>1676.6</v>
      </c>
      <c r="I72" s="5">
        <v>1617.31</v>
      </c>
      <c r="J72" s="5">
        <v>1532.56</v>
      </c>
      <c r="K72" s="5">
        <v>127729899</v>
      </c>
      <c r="L72" s="5">
        <v>127897296</v>
      </c>
      <c r="M72" s="6">
        <f t="shared" si="13"/>
        <v>1.00131055454761</v>
      </c>
      <c r="N72" s="5">
        <v>167797584</v>
      </c>
      <c r="O72" s="6">
        <f t="shared" si="14"/>
        <v>1.31369072796339</v>
      </c>
      <c r="P72" s="5">
        <v>67429216</v>
      </c>
      <c r="Q72" s="1">
        <f t="shared" si="15"/>
        <v>0.527904715559197</v>
      </c>
      <c r="S72" s="4">
        <f t="shared" si="8"/>
        <v>1.1529731805375</v>
      </c>
      <c r="T72" s="4">
        <f t="shared" si="9"/>
        <v>1.18427455378357</v>
      </c>
      <c r="U72" s="4">
        <f t="shared" si="10"/>
        <v>1.486424907551</v>
      </c>
      <c r="V72" s="4">
        <f t="shared" si="11"/>
        <v>1.54091670737212</v>
      </c>
      <c r="W72" s="4">
        <f t="shared" si="12"/>
        <v>1.62612883019262</v>
      </c>
    </row>
    <row r="73" spans="1:23">
      <c r="A73" s="5" t="s">
        <v>90</v>
      </c>
      <c r="B73" s="5">
        <v>10581</v>
      </c>
      <c r="C73" s="5">
        <v>10581</v>
      </c>
      <c r="D73" s="5">
        <v>770901</v>
      </c>
      <c r="E73" s="5">
        <v>12.749</v>
      </c>
      <c r="F73" s="5">
        <v>10.102</v>
      </c>
      <c r="G73" s="5">
        <v>8.819</v>
      </c>
      <c r="H73" s="5">
        <v>5.524</v>
      </c>
      <c r="I73" s="5">
        <v>5.997</v>
      </c>
      <c r="J73" s="5">
        <v>8.419</v>
      </c>
      <c r="K73" s="5">
        <v>770901</v>
      </c>
      <c r="L73" s="5">
        <v>776520</v>
      </c>
      <c r="M73" s="6">
        <f t="shared" si="13"/>
        <v>1.0072888736686</v>
      </c>
      <c r="N73" s="5">
        <v>844576</v>
      </c>
      <c r="O73" s="6">
        <f t="shared" si="14"/>
        <v>1.09556998888314</v>
      </c>
      <c r="P73" s="5">
        <v>395652</v>
      </c>
      <c r="Q73" s="1">
        <f t="shared" si="15"/>
        <v>0.513233216716543</v>
      </c>
      <c r="S73" s="4">
        <f t="shared" si="8"/>
        <v>1.26202732132251</v>
      </c>
      <c r="T73" s="4">
        <f t="shared" si="9"/>
        <v>1.4456287560948</v>
      </c>
      <c r="U73" s="4">
        <f t="shared" si="10"/>
        <v>2.30792903692976</v>
      </c>
      <c r="V73" s="4">
        <f t="shared" si="11"/>
        <v>2.12589628147407</v>
      </c>
      <c r="W73" s="4">
        <f t="shared" si="12"/>
        <v>1.51431286376054</v>
      </c>
    </row>
    <row r="74" spans="1:23">
      <c r="A74" s="5" t="s">
        <v>91</v>
      </c>
      <c r="B74" s="5">
        <v>513351</v>
      </c>
      <c r="C74" s="5">
        <v>513351</v>
      </c>
      <c r="D74" s="5">
        <v>20208051</v>
      </c>
      <c r="E74" s="5">
        <v>410.301</v>
      </c>
      <c r="F74" s="5">
        <v>345.271</v>
      </c>
      <c r="G74" s="5">
        <v>316.845</v>
      </c>
      <c r="H74" s="5">
        <v>202.506</v>
      </c>
      <c r="I74" s="5">
        <v>215.812</v>
      </c>
      <c r="J74" s="5">
        <v>235.804</v>
      </c>
      <c r="K74" s="5">
        <v>20208051</v>
      </c>
      <c r="L74" s="5">
        <v>20335080</v>
      </c>
      <c r="M74" s="6">
        <f t="shared" si="13"/>
        <v>1.00628605895739</v>
      </c>
      <c r="N74" s="5">
        <v>22304172</v>
      </c>
      <c r="O74" s="6">
        <f t="shared" si="14"/>
        <v>1.10372702444189</v>
      </c>
      <c r="P74" s="5">
        <v>10532372</v>
      </c>
      <c r="Q74" s="1">
        <f t="shared" si="15"/>
        <v>0.52119682397872</v>
      </c>
      <c r="S74" s="4">
        <f t="shared" si="8"/>
        <v>1.18834480741215</v>
      </c>
      <c r="T74" s="4">
        <f t="shared" si="9"/>
        <v>1.29495810254225</v>
      </c>
      <c r="U74" s="4">
        <f t="shared" si="10"/>
        <v>2.02611774465942</v>
      </c>
      <c r="V74" s="4">
        <f t="shared" si="11"/>
        <v>1.90119641169166</v>
      </c>
      <c r="W74" s="4">
        <f t="shared" si="12"/>
        <v>1.74000865125274</v>
      </c>
    </row>
    <row r="75" spans="1:23">
      <c r="A75" s="5" t="s">
        <v>92</v>
      </c>
      <c r="B75" s="5">
        <v>3509</v>
      </c>
      <c r="C75" s="5">
        <v>3509</v>
      </c>
      <c r="D75" s="5">
        <v>32157</v>
      </c>
      <c r="E75" s="5">
        <v>0.656</v>
      </c>
      <c r="F75" s="5">
        <v>0.492</v>
      </c>
      <c r="G75" s="5">
        <v>0.354</v>
      </c>
      <c r="H75" s="5">
        <v>0.678</v>
      </c>
      <c r="I75" s="5">
        <v>0.452</v>
      </c>
      <c r="J75" s="5">
        <v>0.622</v>
      </c>
      <c r="K75" s="5">
        <v>32157</v>
      </c>
      <c r="L75" s="5">
        <v>34552</v>
      </c>
      <c r="M75" s="6">
        <f t="shared" si="13"/>
        <v>1.07447834064123</v>
      </c>
      <c r="N75" s="5">
        <v>73704</v>
      </c>
      <c r="O75" s="6">
        <f t="shared" si="14"/>
        <v>2.29200485119881</v>
      </c>
      <c r="P75" s="5">
        <v>19288</v>
      </c>
      <c r="Q75" s="1">
        <f t="shared" si="15"/>
        <v>0.599807195944895</v>
      </c>
      <c r="S75" s="4">
        <f t="shared" si="8"/>
        <v>1.33333333333333</v>
      </c>
      <c r="T75" s="4">
        <f t="shared" si="9"/>
        <v>1.85310734463277</v>
      </c>
      <c r="U75" s="4">
        <f t="shared" si="10"/>
        <v>0.967551622418879</v>
      </c>
      <c r="V75" s="4">
        <f t="shared" si="11"/>
        <v>1.45132743362832</v>
      </c>
      <c r="W75" s="4">
        <f t="shared" si="12"/>
        <v>1.05466237942122</v>
      </c>
    </row>
    <row r="76" spans="1:23">
      <c r="A76" s="5" t="s">
        <v>93</v>
      </c>
      <c r="B76" s="5">
        <v>3792</v>
      </c>
      <c r="C76" s="5">
        <v>3792</v>
      </c>
      <c r="D76" s="5">
        <v>28872</v>
      </c>
      <c r="E76" s="5">
        <v>0.663</v>
      </c>
      <c r="F76" s="5">
        <v>0.458</v>
      </c>
      <c r="G76" s="5">
        <v>0.306</v>
      </c>
      <c r="H76" s="5">
        <v>0.699</v>
      </c>
      <c r="I76" s="5">
        <v>0.435</v>
      </c>
      <c r="J76" s="5">
        <v>0.609</v>
      </c>
      <c r="K76" s="5">
        <v>28872</v>
      </c>
      <c r="L76" s="5">
        <v>29788</v>
      </c>
      <c r="M76" s="6">
        <f t="shared" si="13"/>
        <v>1.03172623995567</v>
      </c>
      <c r="N76" s="5">
        <v>72208</v>
      </c>
      <c r="O76" s="6">
        <f t="shared" si="14"/>
        <v>2.5009697977279</v>
      </c>
      <c r="P76" s="5">
        <v>17266</v>
      </c>
      <c r="Q76" s="1">
        <f t="shared" si="15"/>
        <v>0.598018841784428</v>
      </c>
      <c r="S76" s="4">
        <f t="shared" si="8"/>
        <v>1.44759825327511</v>
      </c>
      <c r="T76" s="4">
        <f t="shared" si="9"/>
        <v>2.16666666666667</v>
      </c>
      <c r="U76" s="4">
        <f t="shared" si="10"/>
        <v>0.948497854077253</v>
      </c>
      <c r="V76" s="4">
        <f t="shared" si="11"/>
        <v>1.52413793103448</v>
      </c>
      <c r="W76" s="4">
        <f t="shared" si="12"/>
        <v>1.08866995073892</v>
      </c>
    </row>
    <row r="77" spans="1:23">
      <c r="A77" s="5" t="s">
        <v>94</v>
      </c>
      <c r="B77" s="5">
        <v>3969</v>
      </c>
      <c r="C77" s="5">
        <v>3969</v>
      </c>
      <c r="D77" s="5">
        <v>31079</v>
      </c>
      <c r="E77" s="5">
        <v>0.661</v>
      </c>
      <c r="F77" s="5">
        <v>0.49</v>
      </c>
      <c r="G77" s="5">
        <v>0.349</v>
      </c>
      <c r="H77" s="5">
        <v>0.718</v>
      </c>
      <c r="I77" s="5">
        <v>0.46</v>
      </c>
      <c r="J77" s="5">
        <v>0.606</v>
      </c>
      <c r="K77" s="5">
        <v>31079</v>
      </c>
      <c r="L77" s="5">
        <v>34104</v>
      </c>
      <c r="M77" s="6">
        <f t="shared" si="13"/>
        <v>1.09733260400914</v>
      </c>
      <c r="N77" s="5">
        <v>75756</v>
      </c>
      <c r="O77" s="6">
        <f t="shared" si="14"/>
        <v>2.43753016506323</v>
      </c>
      <c r="P77" s="5">
        <v>18436</v>
      </c>
      <c r="Q77" s="1">
        <f t="shared" si="15"/>
        <v>0.593197979342965</v>
      </c>
      <c r="S77" s="4">
        <f t="shared" si="8"/>
        <v>1.34897959183673</v>
      </c>
      <c r="T77" s="4">
        <f t="shared" si="9"/>
        <v>1.89398280802292</v>
      </c>
      <c r="U77" s="4">
        <f t="shared" si="10"/>
        <v>0.920612813370474</v>
      </c>
      <c r="V77" s="4">
        <f t="shared" si="11"/>
        <v>1.43695652173913</v>
      </c>
      <c r="W77" s="4">
        <f t="shared" si="12"/>
        <v>1.09075907590759</v>
      </c>
    </row>
    <row r="78" spans="1:23">
      <c r="A78" s="5" t="s">
        <v>95</v>
      </c>
      <c r="B78" s="5">
        <v>4119</v>
      </c>
      <c r="C78" s="5">
        <v>4119</v>
      </c>
      <c r="D78" s="5">
        <v>35699</v>
      </c>
      <c r="E78" s="5">
        <v>0.748</v>
      </c>
      <c r="F78" s="5">
        <v>0.562</v>
      </c>
      <c r="G78" s="5">
        <v>0.388</v>
      </c>
      <c r="H78" s="5">
        <v>0.769</v>
      </c>
      <c r="I78" s="5">
        <v>0.505</v>
      </c>
      <c r="J78" s="5">
        <v>0.691</v>
      </c>
      <c r="K78" s="5">
        <v>35699</v>
      </c>
      <c r="L78" s="5">
        <v>37056</v>
      </c>
      <c r="M78" s="6">
        <f t="shared" si="13"/>
        <v>1.03801226925124</v>
      </c>
      <c r="N78" s="5">
        <v>81924</v>
      </c>
      <c r="O78" s="6">
        <f t="shared" si="14"/>
        <v>2.29485419759657</v>
      </c>
      <c r="P78" s="5">
        <v>21052</v>
      </c>
      <c r="Q78" s="1">
        <f t="shared" si="15"/>
        <v>0.589708395193143</v>
      </c>
      <c r="S78" s="4">
        <f t="shared" si="8"/>
        <v>1.33096085409253</v>
      </c>
      <c r="T78" s="4">
        <f t="shared" si="9"/>
        <v>1.92783505154639</v>
      </c>
      <c r="U78" s="4">
        <f t="shared" si="10"/>
        <v>0.972691807542263</v>
      </c>
      <c r="V78" s="4">
        <f t="shared" si="11"/>
        <v>1.48118811881188</v>
      </c>
      <c r="W78" s="4">
        <f t="shared" si="12"/>
        <v>1.08248914616498</v>
      </c>
    </row>
    <row r="79" spans="1:23">
      <c r="A79" s="5" t="s">
        <v>96</v>
      </c>
      <c r="B79" s="5">
        <v>3797</v>
      </c>
      <c r="C79" s="5">
        <v>3797</v>
      </c>
      <c r="D79" s="5">
        <v>49635</v>
      </c>
      <c r="E79" s="5">
        <v>0.893</v>
      </c>
      <c r="F79" s="5">
        <v>0.695</v>
      </c>
      <c r="G79" s="5">
        <v>0.518</v>
      </c>
      <c r="H79" s="5">
        <v>0.822</v>
      </c>
      <c r="I79" s="5">
        <v>0.626</v>
      </c>
      <c r="J79" s="5">
        <v>0.703</v>
      </c>
      <c r="K79" s="5">
        <v>49635</v>
      </c>
      <c r="L79" s="5">
        <v>52036</v>
      </c>
      <c r="M79" s="6">
        <f t="shared" si="13"/>
        <v>1.04837312380377</v>
      </c>
      <c r="N79" s="5">
        <v>101008</v>
      </c>
      <c r="O79" s="6">
        <f t="shared" si="14"/>
        <v>2.03501561398207</v>
      </c>
      <c r="P79" s="5">
        <v>28380</v>
      </c>
      <c r="Q79" s="1">
        <f t="shared" si="15"/>
        <v>0.571773949833787</v>
      </c>
      <c r="S79" s="4">
        <f t="shared" si="8"/>
        <v>1.28489208633094</v>
      </c>
      <c r="T79" s="4">
        <f t="shared" si="9"/>
        <v>1.72393822393822</v>
      </c>
      <c r="U79" s="4">
        <f t="shared" si="10"/>
        <v>1.08637469586375</v>
      </c>
      <c r="V79" s="4">
        <f t="shared" si="11"/>
        <v>1.42651757188498</v>
      </c>
      <c r="W79" s="4">
        <f t="shared" si="12"/>
        <v>1.27027027027027</v>
      </c>
    </row>
    <row r="80" spans="1:23">
      <c r="A80" s="5" t="s">
        <v>97</v>
      </c>
      <c r="B80" s="5">
        <v>4307</v>
      </c>
      <c r="C80" s="5">
        <v>4307</v>
      </c>
      <c r="D80" s="5">
        <v>34537</v>
      </c>
      <c r="E80" s="5">
        <v>0.726</v>
      </c>
      <c r="F80" s="5">
        <v>0.557</v>
      </c>
      <c r="G80" s="5">
        <v>0.383</v>
      </c>
      <c r="H80" s="5">
        <v>0.789</v>
      </c>
      <c r="I80" s="5">
        <v>0.503</v>
      </c>
      <c r="J80" s="5">
        <v>0.681</v>
      </c>
      <c r="K80" s="5">
        <v>34537</v>
      </c>
      <c r="L80" s="5">
        <v>37156</v>
      </c>
      <c r="M80" s="6">
        <f t="shared" si="13"/>
        <v>1.07583171670962</v>
      </c>
      <c r="N80" s="5">
        <v>83768</v>
      </c>
      <c r="O80" s="6">
        <f t="shared" si="14"/>
        <v>2.42545675652199</v>
      </c>
      <c r="P80" s="5">
        <v>20952</v>
      </c>
      <c r="Q80" s="1">
        <f t="shared" si="15"/>
        <v>0.606653733676926</v>
      </c>
      <c r="S80" s="4">
        <f t="shared" si="8"/>
        <v>1.30341113105925</v>
      </c>
      <c r="T80" s="4">
        <f t="shared" si="9"/>
        <v>1.89556135770235</v>
      </c>
      <c r="U80" s="4">
        <f t="shared" si="10"/>
        <v>0.920152091254753</v>
      </c>
      <c r="V80" s="4">
        <f t="shared" si="11"/>
        <v>1.44333996023857</v>
      </c>
      <c r="W80" s="4">
        <f t="shared" si="12"/>
        <v>1.06607929515418</v>
      </c>
    </row>
    <row r="81" spans="1:23">
      <c r="A81" s="5" t="s">
        <v>98</v>
      </c>
      <c r="B81" s="5">
        <v>4563</v>
      </c>
      <c r="C81" s="5">
        <v>4563</v>
      </c>
      <c r="D81" s="5">
        <v>31375</v>
      </c>
      <c r="E81" s="5">
        <v>0.714</v>
      </c>
      <c r="F81" s="5">
        <v>0.54</v>
      </c>
      <c r="G81" s="5">
        <v>0.356</v>
      </c>
      <c r="H81" s="5">
        <v>0.817</v>
      </c>
      <c r="I81" s="5">
        <v>0.533</v>
      </c>
      <c r="J81" s="5">
        <v>0.647</v>
      </c>
      <c r="K81" s="5">
        <v>31375</v>
      </c>
      <c r="L81" s="5">
        <v>33616</v>
      </c>
      <c r="M81" s="6">
        <f t="shared" si="13"/>
        <v>1.07142629482072</v>
      </c>
      <c r="N81" s="5">
        <v>81924</v>
      </c>
      <c r="O81" s="6">
        <f t="shared" si="14"/>
        <v>2.6111235059761</v>
      </c>
      <c r="P81" s="5">
        <v>19304</v>
      </c>
      <c r="Q81" s="1">
        <f t="shared" si="15"/>
        <v>0.615266932270916</v>
      </c>
      <c r="S81" s="4">
        <f t="shared" si="8"/>
        <v>1.32222222222222</v>
      </c>
      <c r="T81" s="4">
        <f t="shared" si="9"/>
        <v>2.00561797752809</v>
      </c>
      <c r="U81" s="4">
        <f t="shared" si="10"/>
        <v>0.873929008567931</v>
      </c>
      <c r="V81" s="4">
        <f t="shared" si="11"/>
        <v>1.33958724202627</v>
      </c>
      <c r="W81" s="4">
        <f t="shared" si="12"/>
        <v>1.10355486862442</v>
      </c>
    </row>
    <row r="82" spans="1:23">
      <c r="A82" s="5" t="s">
        <v>99</v>
      </c>
      <c r="B82" s="5">
        <v>4598</v>
      </c>
      <c r="C82" s="5">
        <v>4598</v>
      </c>
      <c r="D82" s="5">
        <v>30590</v>
      </c>
      <c r="E82" s="5">
        <v>0.702</v>
      </c>
      <c r="F82" s="5">
        <v>0.54</v>
      </c>
      <c r="G82" s="5">
        <v>0.335</v>
      </c>
      <c r="H82" s="5">
        <v>0.834</v>
      </c>
      <c r="I82" s="5">
        <v>0.522</v>
      </c>
      <c r="J82" s="5">
        <v>0.632</v>
      </c>
      <c r="K82" s="5">
        <v>30590</v>
      </c>
      <c r="L82" s="5">
        <v>31820</v>
      </c>
      <c r="M82" s="6">
        <f t="shared" si="13"/>
        <v>1.04020921869892</v>
      </c>
      <c r="N82" s="5">
        <v>80812</v>
      </c>
      <c r="O82" s="6">
        <f t="shared" si="14"/>
        <v>2.64177835894083</v>
      </c>
      <c r="P82" s="5">
        <v>19110</v>
      </c>
      <c r="Q82" s="1">
        <f t="shared" si="15"/>
        <v>0.624713958810069</v>
      </c>
      <c r="S82" s="4">
        <f t="shared" si="8"/>
        <v>1.3</v>
      </c>
      <c r="T82" s="4">
        <f t="shared" si="9"/>
        <v>2.0955223880597</v>
      </c>
      <c r="U82" s="4">
        <f t="shared" si="10"/>
        <v>0.841726618705036</v>
      </c>
      <c r="V82" s="4">
        <f t="shared" si="11"/>
        <v>1.3448275862069</v>
      </c>
      <c r="W82" s="4">
        <f t="shared" si="12"/>
        <v>1.11075949367089</v>
      </c>
    </row>
    <row r="83" spans="1:23">
      <c r="A83" s="5" t="s">
        <v>100</v>
      </c>
      <c r="B83" s="5">
        <v>5033</v>
      </c>
      <c r="C83" s="5">
        <v>5033</v>
      </c>
      <c r="D83" s="5">
        <v>43731</v>
      </c>
      <c r="E83" s="5">
        <v>0.922</v>
      </c>
      <c r="F83" s="5">
        <v>0.681</v>
      </c>
      <c r="G83" s="5">
        <v>0.487</v>
      </c>
      <c r="H83" s="5">
        <v>0.97</v>
      </c>
      <c r="I83" s="5">
        <v>0.612</v>
      </c>
      <c r="J83" s="5">
        <v>0.853</v>
      </c>
      <c r="K83" s="5">
        <v>43731</v>
      </c>
      <c r="L83" s="5">
        <v>46236</v>
      </c>
      <c r="M83" s="6">
        <f t="shared" si="13"/>
        <v>1.05728201961995</v>
      </c>
      <c r="N83" s="5">
        <v>104156</v>
      </c>
      <c r="O83" s="6">
        <f t="shared" si="14"/>
        <v>2.38174292835746</v>
      </c>
      <c r="P83" s="5">
        <v>26016</v>
      </c>
      <c r="Q83" s="1">
        <f t="shared" si="15"/>
        <v>0.594909789394251</v>
      </c>
      <c r="S83" s="4">
        <f t="shared" si="8"/>
        <v>1.35389133627019</v>
      </c>
      <c r="T83" s="4">
        <f t="shared" si="9"/>
        <v>1.89322381930185</v>
      </c>
      <c r="U83" s="4">
        <f t="shared" si="10"/>
        <v>0.950515463917526</v>
      </c>
      <c r="V83" s="4">
        <f t="shared" si="11"/>
        <v>1.50653594771242</v>
      </c>
      <c r="W83" s="4">
        <f t="shared" si="12"/>
        <v>1.08089097303634</v>
      </c>
    </row>
    <row r="84" spans="1:23">
      <c r="A84" s="5" t="s">
        <v>101</v>
      </c>
      <c r="B84" s="5">
        <v>5321</v>
      </c>
      <c r="C84" s="5">
        <v>5321</v>
      </c>
      <c r="D84" s="5">
        <v>65693</v>
      </c>
      <c r="E84" s="5">
        <v>1.29</v>
      </c>
      <c r="F84" s="5">
        <v>0.918</v>
      </c>
      <c r="G84" s="5">
        <v>0.714</v>
      </c>
      <c r="H84" s="5">
        <v>1.095</v>
      </c>
      <c r="I84" s="5">
        <v>0.708</v>
      </c>
      <c r="J84" s="5">
        <v>0.911</v>
      </c>
      <c r="K84" s="5">
        <v>65693</v>
      </c>
      <c r="L84" s="5">
        <v>67976</v>
      </c>
      <c r="M84" s="6">
        <f t="shared" si="13"/>
        <v>1.03475256115568</v>
      </c>
      <c r="N84" s="5">
        <v>122716</v>
      </c>
      <c r="O84" s="6">
        <f t="shared" si="14"/>
        <v>1.86802246814729</v>
      </c>
      <c r="P84" s="5">
        <v>35972</v>
      </c>
      <c r="Q84" s="1">
        <f t="shared" si="15"/>
        <v>0.547577367451631</v>
      </c>
      <c r="S84" s="4">
        <f t="shared" si="8"/>
        <v>1.40522875816993</v>
      </c>
      <c r="T84" s="4">
        <f t="shared" si="9"/>
        <v>1.80672268907563</v>
      </c>
      <c r="U84" s="4">
        <f t="shared" si="10"/>
        <v>1.17808219178082</v>
      </c>
      <c r="V84" s="4">
        <f t="shared" si="11"/>
        <v>1.82203389830508</v>
      </c>
      <c r="W84" s="4">
        <f t="shared" si="12"/>
        <v>1.41602634467618</v>
      </c>
    </row>
    <row r="85" spans="1:23">
      <c r="A85" s="5" t="s">
        <v>102</v>
      </c>
      <c r="B85" s="5">
        <v>5339</v>
      </c>
      <c r="C85" s="5">
        <v>5339</v>
      </c>
      <c r="D85" s="5">
        <v>78571</v>
      </c>
      <c r="E85" s="5">
        <v>1.461</v>
      </c>
      <c r="F85" s="5">
        <v>1.074</v>
      </c>
      <c r="G85" s="5">
        <v>0.84</v>
      </c>
      <c r="H85" s="5">
        <v>1.194</v>
      </c>
      <c r="I85" s="5">
        <v>0.839</v>
      </c>
      <c r="J85" s="5">
        <v>1.043</v>
      </c>
      <c r="K85" s="5">
        <v>78571</v>
      </c>
      <c r="L85" s="5">
        <v>80640</v>
      </c>
      <c r="M85" s="6">
        <f t="shared" si="13"/>
        <v>1.02633287090657</v>
      </c>
      <c r="N85" s="5">
        <v>139660</v>
      </c>
      <c r="O85" s="6">
        <f t="shared" si="14"/>
        <v>1.77750060454875</v>
      </c>
      <c r="P85" s="5">
        <v>43458</v>
      </c>
      <c r="Q85" s="1">
        <f t="shared" si="15"/>
        <v>0.553104835117282</v>
      </c>
      <c r="S85" s="4">
        <f t="shared" si="8"/>
        <v>1.36033519553073</v>
      </c>
      <c r="T85" s="4">
        <f t="shared" si="9"/>
        <v>1.73928571428571</v>
      </c>
      <c r="U85" s="4">
        <f t="shared" si="10"/>
        <v>1.22361809045226</v>
      </c>
      <c r="V85" s="4">
        <f t="shared" si="11"/>
        <v>1.74135876042908</v>
      </c>
      <c r="W85" s="4">
        <f t="shared" si="12"/>
        <v>1.40076701821668</v>
      </c>
    </row>
    <row r="86" spans="1:23">
      <c r="A86" s="5" t="s">
        <v>103</v>
      </c>
      <c r="B86" s="5">
        <v>5975</v>
      </c>
      <c r="C86" s="5">
        <v>5975</v>
      </c>
      <c r="D86" s="5">
        <v>54471</v>
      </c>
      <c r="E86" s="5">
        <v>1.135</v>
      </c>
      <c r="F86" s="5">
        <v>0.835</v>
      </c>
      <c r="G86" s="5">
        <v>0.622</v>
      </c>
      <c r="H86" s="5">
        <v>1.072</v>
      </c>
      <c r="I86" s="5">
        <v>0.686</v>
      </c>
      <c r="J86" s="5">
        <v>1.034</v>
      </c>
      <c r="K86" s="5">
        <v>54471</v>
      </c>
      <c r="L86" s="5">
        <v>58560</v>
      </c>
      <c r="M86" s="6">
        <f t="shared" si="13"/>
        <v>1.07506746709258</v>
      </c>
      <c r="N86" s="5">
        <v>111328</v>
      </c>
      <c r="O86" s="6">
        <f t="shared" si="14"/>
        <v>2.04380312459841</v>
      </c>
      <c r="P86" s="5">
        <v>31248</v>
      </c>
      <c r="Q86" s="1">
        <f t="shared" si="15"/>
        <v>0.573663050063336</v>
      </c>
      <c r="S86" s="4">
        <f t="shared" si="8"/>
        <v>1.35928143712575</v>
      </c>
      <c r="T86" s="4">
        <f t="shared" si="9"/>
        <v>1.82475884244373</v>
      </c>
      <c r="U86" s="4">
        <f t="shared" si="10"/>
        <v>1.05876865671642</v>
      </c>
      <c r="V86" s="4">
        <f t="shared" si="11"/>
        <v>1.65451895043732</v>
      </c>
      <c r="W86" s="4">
        <f t="shared" si="12"/>
        <v>1.09767891682785</v>
      </c>
    </row>
    <row r="87" spans="1:23">
      <c r="A87" s="5" t="s">
        <v>104</v>
      </c>
      <c r="B87" s="5">
        <v>6317</v>
      </c>
      <c r="C87" s="5">
        <v>6317</v>
      </c>
      <c r="D87" s="5">
        <v>56123</v>
      </c>
      <c r="E87" s="5">
        <v>1.154</v>
      </c>
      <c r="F87" s="5">
        <v>0.852</v>
      </c>
      <c r="G87" s="5">
        <v>0.632</v>
      </c>
      <c r="H87" s="5">
        <v>1.166</v>
      </c>
      <c r="I87" s="5">
        <v>0.742</v>
      </c>
      <c r="J87" s="5">
        <v>1.078</v>
      </c>
      <c r="K87" s="5">
        <v>56123</v>
      </c>
      <c r="L87" s="5">
        <v>57512</v>
      </c>
      <c r="M87" s="6">
        <f t="shared" si="13"/>
        <v>1.0247492115532</v>
      </c>
      <c r="N87" s="5">
        <v>126496</v>
      </c>
      <c r="O87" s="6">
        <f t="shared" si="14"/>
        <v>2.25390659800795</v>
      </c>
      <c r="P87" s="5">
        <v>33194</v>
      </c>
      <c r="Q87" s="1">
        <f t="shared" si="15"/>
        <v>0.591450920300055</v>
      </c>
      <c r="S87" s="4">
        <f t="shared" si="8"/>
        <v>1.35446009389671</v>
      </c>
      <c r="T87" s="4">
        <f t="shared" si="9"/>
        <v>1.82594936708861</v>
      </c>
      <c r="U87" s="4">
        <f t="shared" si="10"/>
        <v>0.989708404802744</v>
      </c>
      <c r="V87" s="4">
        <f t="shared" si="11"/>
        <v>1.55525606469003</v>
      </c>
      <c r="W87" s="4">
        <f t="shared" si="12"/>
        <v>1.07050092764378</v>
      </c>
    </row>
    <row r="88" spans="1:23">
      <c r="A88" s="5" t="s">
        <v>105</v>
      </c>
      <c r="B88" s="5">
        <v>6611</v>
      </c>
      <c r="C88" s="5">
        <v>6611</v>
      </c>
      <c r="D88" s="5">
        <v>64333</v>
      </c>
      <c r="E88" s="5">
        <v>1.256</v>
      </c>
      <c r="F88" s="5">
        <v>0.999</v>
      </c>
      <c r="G88" s="5">
        <v>0.74</v>
      </c>
      <c r="H88" s="5">
        <v>1.23</v>
      </c>
      <c r="I88" s="5">
        <v>0.824</v>
      </c>
      <c r="J88" s="5">
        <v>1.221</v>
      </c>
      <c r="K88" s="5">
        <v>64333</v>
      </c>
      <c r="L88" s="5">
        <v>68164</v>
      </c>
      <c r="M88" s="6">
        <f t="shared" si="13"/>
        <v>1.05954953134472</v>
      </c>
      <c r="N88" s="5">
        <v>138232</v>
      </c>
      <c r="O88" s="6">
        <f t="shared" si="14"/>
        <v>2.14869507095892</v>
      </c>
      <c r="P88" s="5">
        <v>37242</v>
      </c>
      <c r="Q88" s="1">
        <f t="shared" si="15"/>
        <v>0.578894191161612</v>
      </c>
      <c r="S88" s="4">
        <f t="shared" si="8"/>
        <v>1.25725725725726</v>
      </c>
      <c r="T88" s="4">
        <f t="shared" si="9"/>
        <v>1.6972972972973</v>
      </c>
      <c r="U88" s="4">
        <f t="shared" si="10"/>
        <v>1.02113821138211</v>
      </c>
      <c r="V88" s="4">
        <f t="shared" si="11"/>
        <v>1.52427184466019</v>
      </c>
      <c r="W88" s="4">
        <f t="shared" si="12"/>
        <v>1.02866502866503</v>
      </c>
    </row>
    <row r="89" spans="1:23">
      <c r="A89" s="5" t="s">
        <v>106</v>
      </c>
      <c r="B89" s="5">
        <v>6537</v>
      </c>
      <c r="C89" s="5">
        <v>6537</v>
      </c>
      <c r="D89" s="5">
        <v>62891</v>
      </c>
      <c r="E89" s="5">
        <v>1.231</v>
      </c>
      <c r="F89" s="5">
        <v>1.003</v>
      </c>
      <c r="G89" s="5">
        <v>0.719</v>
      </c>
      <c r="H89" s="5">
        <v>1.298</v>
      </c>
      <c r="I89" s="5">
        <v>0.875</v>
      </c>
      <c r="J89" s="5">
        <v>1.184</v>
      </c>
      <c r="K89" s="5">
        <v>62891</v>
      </c>
      <c r="L89" s="5">
        <v>67048</v>
      </c>
      <c r="M89" s="6">
        <f t="shared" si="13"/>
        <v>1.06609848785995</v>
      </c>
      <c r="N89" s="5">
        <v>143756</v>
      </c>
      <c r="O89" s="6">
        <f t="shared" si="14"/>
        <v>2.28579605984958</v>
      </c>
      <c r="P89" s="5">
        <v>37284</v>
      </c>
      <c r="Q89" s="1">
        <f t="shared" si="15"/>
        <v>0.592835222845876</v>
      </c>
      <c r="S89" s="4">
        <f t="shared" si="8"/>
        <v>1.22731804586241</v>
      </c>
      <c r="T89" s="4">
        <f t="shared" si="9"/>
        <v>1.71210013908206</v>
      </c>
      <c r="U89" s="4">
        <f t="shared" si="10"/>
        <v>0.948382126348228</v>
      </c>
      <c r="V89" s="4">
        <f t="shared" si="11"/>
        <v>1.40685714285714</v>
      </c>
      <c r="W89" s="4">
        <f t="shared" si="12"/>
        <v>1.03969594594595</v>
      </c>
    </row>
    <row r="90" spans="1:23">
      <c r="A90" s="5" t="s">
        <v>107</v>
      </c>
      <c r="B90" s="5">
        <v>7479</v>
      </c>
      <c r="C90" s="5">
        <v>7479</v>
      </c>
      <c r="D90" s="5">
        <v>65941</v>
      </c>
      <c r="E90" s="5">
        <v>1.438</v>
      </c>
      <c r="F90" s="5">
        <v>1.005</v>
      </c>
      <c r="G90" s="5">
        <v>0.742</v>
      </c>
      <c r="H90" s="5">
        <v>1.457</v>
      </c>
      <c r="I90" s="5">
        <v>0.889</v>
      </c>
      <c r="J90" s="5">
        <v>1.305</v>
      </c>
      <c r="K90" s="5">
        <v>65941</v>
      </c>
      <c r="L90" s="5">
        <v>67644</v>
      </c>
      <c r="M90" s="6">
        <f t="shared" si="13"/>
        <v>1.02582611728667</v>
      </c>
      <c r="N90" s="5">
        <v>154508</v>
      </c>
      <c r="O90" s="6">
        <f t="shared" si="14"/>
        <v>2.34312491469647</v>
      </c>
      <c r="P90" s="5">
        <v>38890</v>
      </c>
      <c r="Q90" s="1">
        <f t="shared" si="15"/>
        <v>0.589769642559258</v>
      </c>
      <c r="S90" s="4">
        <f t="shared" si="8"/>
        <v>1.43084577114428</v>
      </c>
      <c r="T90" s="4">
        <f t="shared" si="9"/>
        <v>1.93800539083558</v>
      </c>
      <c r="U90" s="4">
        <f t="shared" si="10"/>
        <v>0.986959505833905</v>
      </c>
      <c r="V90" s="4">
        <f t="shared" si="11"/>
        <v>1.61754780652418</v>
      </c>
      <c r="W90" s="4">
        <f t="shared" si="12"/>
        <v>1.10191570881226</v>
      </c>
    </row>
    <row r="91" spans="1:23">
      <c r="A91" s="5" t="s">
        <v>108</v>
      </c>
      <c r="B91" s="5">
        <v>8204</v>
      </c>
      <c r="C91" s="5">
        <v>8204</v>
      </c>
      <c r="D91" s="5">
        <v>74676</v>
      </c>
      <c r="E91" s="5">
        <v>1.587</v>
      </c>
      <c r="F91" s="5">
        <v>1.208</v>
      </c>
      <c r="G91" s="5">
        <v>0.852</v>
      </c>
      <c r="H91" s="5">
        <v>1.726</v>
      </c>
      <c r="I91" s="5">
        <v>1.081</v>
      </c>
      <c r="J91" s="5">
        <v>1.489</v>
      </c>
      <c r="K91" s="5">
        <v>74676</v>
      </c>
      <c r="L91" s="5">
        <v>77128</v>
      </c>
      <c r="M91" s="6">
        <f t="shared" si="13"/>
        <v>1.03283518131662</v>
      </c>
      <c r="N91" s="5">
        <v>177124</v>
      </c>
      <c r="O91" s="6">
        <f t="shared" si="14"/>
        <v>2.37189994107879</v>
      </c>
      <c r="P91" s="5">
        <v>44126</v>
      </c>
      <c r="Q91" s="1">
        <f t="shared" si="15"/>
        <v>0.590899351866731</v>
      </c>
      <c r="S91" s="4">
        <f t="shared" si="8"/>
        <v>1.3137417218543</v>
      </c>
      <c r="T91" s="4">
        <f t="shared" si="9"/>
        <v>1.86267605633803</v>
      </c>
      <c r="U91" s="4">
        <f t="shared" si="10"/>
        <v>0.91946697566628</v>
      </c>
      <c r="V91" s="4">
        <f t="shared" si="11"/>
        <v>1.46808510638298</v>
      </c>
      <c r="W91" s="4">
        <f t="shared" si="12"/>
        <v>1.0658159838818</v>
      </c>
    </row>
    <row r="92" spans="1:23">
      <c r="A92" s="5" t="s">
        <v>109</v>
      </c>
      <c r="B92" s="5">
        <v>8127</v>
      </c>
      <c r="C92" s="5">
        <v>8127</v>
      </c>
      <c r="D92" s="5">
        <v>77689</v>
      </c>
      <c r="E92" s="5">
        <v>1.581</v>
      </c>
      <c r="F92" s="5">
        <v>1.268</v>
      </c>
      <c r="G92" s="5">
        <v>0.898</v>
      </c>
      <c r="H92" s="5">
        <v>1.692</v>
      </c>
      <c r="I92" s="5">
        <v>1.066</v>
      </c>
      <c r="J92" s="5">
        <v>1.458</v>
      </c>
      <c r="K92" s="5">
        <v>77689</v>
      </c>
      <c r="L92" s="5">
        <v>83072</v>
      </c>
      <c r="M92" s="6">
        <f t="shared" si="13"/>
        <v>1.06928908854535</v>
      </c>
      <c r="N92" s="5">
        <v>189736</v>
      </c>
      <c r="O92" s="6">
        <f t="shared" si="14"/>
        <v>2.44225051165545</v>
      </c>
      <c r="P92" s="5">
        <v>46952</v>
      </c>
      <c r="Q92" s="1">
        <f t="shared" si="15"/>
        <v>0.60435840337757</v>
      </c>
      <c r="S92" s="4">
        <f t="shared" si="8"/>
        <v>1.24684542586751</v>
      </c>
      <c r="T92" s="4">
        <f t="shared" si="9"/>
        <v>1.76057906458797</v>
      </c>
      <c r="U92" s="4">
        <f t="shared" si="10"/>
        <v>0.934397163120567</v>
      </c>
      <c r="V92" s="4">
        <f t="shared" si="11"/>
        <v>1.48311444652908</v>
      </c>
      <c r="W92" s="4">
        <f t="shared" si="12"/>
        <v>1.0843621399177</v>
      </c>
    </row>
    <row r="93" spans="1:23">
      <c r="A93" s="5" t="s">
        <v>110</v>
      </c>
      <c r="B93" s="5">
        <v>9271</v>
      </c>
      <c r="C93" s="5">
        <v>9271</v>
      </c>
      <c r="D93" s="5">
        <v>136811</v>
      </c>
      <c r="E93" s="5">
        <v>2.645</v>
      </c>
      <c r="F93" s="5">
        <v>1.921</v>
      </c>
      <c r="G93" s="5">
        <v>1.554</v>
      </c>
      <c r="H93" s="5">
        <v>2.313</v>
      </c>
      <c r="I93" s="5">
        <v>1.573</v>
      </c>
      <c r="J93" s="5">
        <v>2.041</v>
      </c>
      <c r="K93" s="5">
        <v>136811</v>
      </c>
      <c r="L93" s="5">
        <v>142152</v>
      </c>
      <c r="M93" s="6">
        <f t="shared" si="13"/>
        <v>1.03903925853915</v>
      </c>
      <c r="N93" s="5">
        <v>276624</v>
      </c>
      <c r="O93" s="6">
        <f t="shared" si="14"/>
        <v>2.02194268004766</v>
      </c>
      <c r="P93" s="5">
        <v>75798</v>
      </c>
      <c r="Q93" s="1">
        <f t="shared" si="15"/>
        <v>0.554034397818889</v>
      </c>
      <c r="S93" s="4">
        <f t="shared" si="8"/>
        <v>1.37688703800104</v>
      </c>
      <c r="T93" s="4">
        <f t="shared" si="9"/>
        <v>1.7020592020592</v>
      </c>
      <c r="U93" s="4">
        <f t="shared" si="10"/>
        <v>1.14353653264159</v>
      </c>
      <c r="V93" s="4">
        <f t="shared" si="11"/>
        <v>1.68150031786395</v>
      </c>
      <c r="W93" s="4">
        <f t="shared" si="12"/>
        <v>1.29593336599706</v>
      </c>
    </row>
    <row r="94" spans="1:23">
      <c r="A94" s="5" t="s">
        <v>111</v>
      </c>
      <c r="B94" s="5">
        <v>9941</v>
      </c>
      <c r="C94" s="5">
        <v>9941</v>
      </c>
      <c r="D94" s="5">
        <v>81501</v>
      </c>
      <c r="E94" s="5">
        <v>1.841</v>
      </c>
      <c r="F94" s="5">
        <v>1.328</v>
      </c>
      <c r="G94" s="5">
        <v>0.989</v>
      </c>
      <c r="H94" s="5">
        <v>1.916</v>
      </c>
      <c r="I94" s="5">
        <v>1.124</v>
      </c>
      <c r="J94" s="5">
        <v>1.555</v>
      </c>
      <c r="K94" s="5">
        <v>81501</v>
      </c>
      <c r="L94" s="5">
        <v>88860</v>
      </c>
      <c r="M94" s="6">
        <f t="shared" si="13"/>
        <v>1.09029337063349</v>
      </c>
      <c r="N94" s="5">
        <v>198932</v>
      </c>
      <c r="O94" s="6">
        <f t="shared" si="14"/>
        <v>2.44085348646029</v>
      </c>
      <c r="P94" s="5">
        <v>48022</v>
      </c>
      <c r="Q94" s="1">
        <f t="shared" si="15"/>
        <v>0.589219764174673</v>
      </c>
      <c r="S94" s="4">
        <f t="shared" si="8"/>
        <v>1.38629518072289</v>
      </c>
      <c r="T94" s="4">
        <f t="shared" si="9"/>
        <v>1.86147623862487</v>
      </c>
      <c r="U94" s="4">
        <f t="shared" si="10"/>
        <v>0.960855949895616</v>
      </c>
      <c r="V94" s="4">
        <f t="shared" si="11"/>
        <v>1.63790035587189</v>
      </c>
      <c r="W94" s="4">
        <f t="shared" si="12"/>
        <v>1.18392282958199</v>
      </c>
    </row>
    <row r="95" spans="1:23">
      <c r="A95" s="5" t="s">
        <v>112</v>
      </c>
      <c r="B95" s="5">
        <v>9769</v>
      </c>
      <c r="C95" s="5">
        <v>9769</v>
      </c>
      <c r="D95" s="5">
        <v>101745</v>
      </c>
      <c r="E95" s="5">
        <v>2.093</v>
      </c>
      <c r="F95" s="5">
        <v>1.669</v>
      </c>
      <c r="G95" s="5">
        <v>1.208</v>
      </c>
      <c r="H95" s="5">
        <v>2.066</v>
      </c>
      <c r="I95" s="5">
        <v>1.372</v>
      </c>
      <c r="J95" s="5">
        <v>1.641</v>
      </c>
      <c r="K95" s="5">
        <v>101745</v>
      </c>
      <c r="L95" s="5">
        <v>107924</v>
      </c>
      <c r="M95" s="6">
        <f t="shared" si="13"/>
        <v>1.06073025701509</v>
      </c>
      <c r="N95" s="5">
        <v>225400</v>
      </c>
      <c r="O95" s="6">
        <f t="shared" si="14"/>
        <v>2.21534227726178</v>
      </c>
      <c r="P95" s="5">
        <v>59524</v>
      </c>
      <c r="Q95" s="1">
        <f t="shared" si="15"/>
        <v>0.585031205464642</v>
      </c>
      <c r="S95" s="4">
        <f t="shared" si="8"/>
        <v>1.2540443379269</v>
      </c>
      <c r="T95" s="4">
        <f t="shared" si="9"/>
        <v>1.73261589403974</v>
      </c>
      <c r="U95" s="4">
        <f t="shared" si="10"/>
        <v>1.01306873184898</v>
      </c>
      <c r="V95" s="4">
        <f t="shared" si="11"/>
        <v>1.52551020408163</v>
      </c>
      <c r="W95" s="4">
        <f t="shared" si="12"/>
        <v>1.27544180377818</v>
      </c>
    </row>
    <row r="96" spans="1:23">
      <c r="A96" s="5" t="s">
        <v>113</v>
      </c>
      <c r="B96" s="5">
        <v>10471</v>
      </c>
      <c r="C96" s="5">
        <v>10471</v>
      </c>
      <c r="D96" s="5">
        <v>110285</v>
      </c>
      <c r="E96" s="5">
        <v>2.278</v>
      </c>
      <c r="F96" s="5">
        <v>1.781</v>
      </c>
      <c r="G96" s="5">
        <v>1.265</v>
      </c>
      <c r="H96" s="5">
        <v>2.082</v>
      </c>
      <c r="I96" s="5">
        <v>1.34</v>
      </c>
      <c r="J96" s="5">
        <v>1.66</v>
      </c>
      <c r="K96" s="5">
        <v>110285</v>
      </c>
      <c r="L96" s="5">
        <v>113320</v>
      </c>
      <c r="M96" s="6">
        <f t="shared" si="13"/>
        <v>1.02751960828762</v>
      </c>
      <c r="N96" s="5">
        <v>228604</v>
      </c>
      <c r="O96" s="6">
        <f t="shared" si="14"/>
        <v>2.07284762207009</v>
      </c>
      <c r="P96" s="5">
        <v>63002</v>
      </c>
      <c r="Q96" s="1">
        <f t="shared" si="15"/>
        <v>0.571265357936256</v>
      </c>
      <c r="S96" s="4">
        <f t="shared" si="8"/>
        <v>1.27905670971364</v>
      </c>
      <c r="T96" s="4">
        <f t="shared" si="9"/>
        <v>1.80079051383399</v>
      </c>
      <c r="U96" s="4">
        <f t="shared" si="10"/>
        <v>1.09414024975985</v>
      </c>
      <c r="V96" s="4">
        <f t="shared" si="11"/>
        <v>1.7</v>
      </c>
      <c r="W96" s="4">
        <f t="shared" si="12"/>
        <v>1.37228915662651</v>
      </c>
    </row>
    <row r="97" spans="1:23">
      <c r="A97" s="5" t="s">
        <v>114</v>
      </c>
      <c r="B97" s="5">
        <v>11125</v>
      </c>
      <c r="C97" s="5">
        <v>11125</v>
      </c>
      <c r="D97" s="5">
        <v>123675</v>
      </c>
      <c r="E97" s="5">
        <v>2.544</v>
      </c>
      <c r="F97" s="5">
        <v>1.84</v>
      </c>
      <c r="G97" s="5">
        <v>1.504</v>
      </c>
      <c r="H97" s="5">
        <v>2.357</v>
      </c>
      <c r="I97" s="5">
        <v>1.527</v>
      </c>
      <c r="J97" s="5">
        <v>1.825</v>
      </c>
      <c r="K97" s="5">
        <v>123675</v>
      </c>
      <c r="L97" s="5">
        <v>130464</v>
      </c>
      <c r="M97" s="6">
        <f t="shared" si="13"/>
        <v>1.0548938750758</v>
      </c>
      <c r="N97" s="5">
        <v>254540</v>
      </c>
      <c r="O97" s="6">
        <f t="shared" si="14"/>
        <v>2.0581362441884</v>
      </c>
      <c r="P97" s="5">
        <v>69986</v>
      </c>
      <c r="Q97" s="1">
        <f t="shared" si="15"/>
        <v>0.565886395795432</v>
      </c>
      <c r="S97" s="4">
        <f t="shared" si="8"/>
        <v>1.38260869565217</v>
      </c>
      <c r="T97" s="4">
        <f t="shared" si="9"/>
        <v>1.69148936170213</v>
      </c>
      <c r="U97" s="4">
        <f t="shared" si="10"/>
        <v>1.07933814170556</v>
      </c>
      <c r="V97" s="4">
        <f t="shared" si="11"/>
        <v>1.66601178781925</v>
      </c>
      <c r="W97" s="4">
        <f t="shared" si="12"/>
        <v>1.39397260273973</v>
      </c>
    </row>
    <row r="98" spans="1:23">
      <c r="A98" s="5" t="s">
        <v>115</v>
      </c>
      <c r="B98" s="5">
        <v>10728</v>
      </c>
      <c r="C98" s="5">
        <v>10728</v>
      </c>
      <c r="D98" s="5">
        <v>85000</v>
      </c>
      <c r="E98" s="5">
        <v>1.953</v>
      </c>
      <c r="F98" s="5">
        <v>1.565</v>
      </c>
      <c r="G98" s="5">
        <v>0.991</v>
      </c>
      <c r="H98" s="5">
        <v>2.141</v>
      </c>
      <c r="I98" s="5">
        <v>1.333</v>
      </c>
      <c r="J98" s="5">
        <v>1.75</v>
      </c>
      <c r="K98" s="5">
        <v>85000</v>
      </c>
      <c r="L98" s="5">
        <v>87896</v>
      </c>
      <c r="M98" s="6">
        <f t="shared" si="13"/>
        <v>1.03407058823529</v>
      </c>
      <c r="N98" s="5">
        <v>219616</v>
      </c>
      <c r="O98" s="6">
        <f t="shared" si="14"/>
        <v>2.58371764705882</v>
      </c>
      <c r="P98" s="5">
        <v>52316</v>
      </c>
      <c r="Q98" s="1">
        <f t="shared" si="15"/>
        <v>0.615482352941176</v>
      </c>
      <c r="S98" s="4">
        <f t="shared" si="8"/>
        <v>1.24792332268371</v>
      </c>
      <c r="T98" s="4">
        <f t="shared" si="9"/>
        <v>1.970736629667</v>
      </c>
      <c r="U98" s="4">
        <f t="shared" si="10"/>
        <v>0.912190565156469</v>
      </c>
      <c r="V98" s="4">
        <f t="shared" si="11"/>
        <v>1.46511627906977</v>
      </c>
      <c r="W98" s="4">
        <f t="shared" si="12"/>
        <v>1.116</v>
      </c>
    </row>
    <row r="99" spans="1:23">
      <c r="A99" s="5" t="s">
        <v>116</v>
      </c>
      <c r="B99" s="5">
        <v>13206</v>
      </c>
      <c r="C99" s="5">
        <v>13206</v>
      </c>
      <c r="D99" s="5">
        <v>174452</v>
      </c>
      <c r="E99" s="5">
        <v>3.409</v>
      </c>
      <c r="F99" s="5">
        <v>2.554</v>
      </c>
      <c r="G99" s="5">
        <v>2.092</v>
      </c>
      <c r="H99" s="5">
        <v>2.831</v>
      </c>
      <c r="I99" s="5">
        <v>1.965</v>
      </c>
      <c r="J99" s="5">
        <v>2.403</v>
      </c>
      <c r="K99" s="5">
        <v>174452</v>
      </c>
      <c r="L99" s="5">
        <v>184800</v>
      </c>
      <c r="M99" s="6">
        <f t="shared" si="13"/>
        <v>1.05931717607135</v>
      </c>
      <c r="N99" s="5">
        <v>302176</v>
      </c>
      <c r="O99" s="6">
        <f t="shared" si="14"/>
        <v>1.7321440854791</v>
      </c>
      <c r="P99" s="5">
        <v>96170</v>
      </c>
      <c r="Q99" s="1">
        <f t="shared" si="15"/>
        <v>0.551269117006397</v>
      </c>
      <c r="S99" s="4">
        <f t="shared" si="8"/>
        <v>1.33476898981989</v>
      </c>
      <c r="T99" s="4">
        <f t="shared" si="9"/>
        <v>1.62954110898662</v>
      </c>
      <c r="U99" s="4">
        <f t="shared" si="10"/>
        <v>1.20416813846697</v>
      </c>
      <c r="V99" s="4">
        <f t="shared" si="11"/>
        <v>1.73486005089059</v>
      </c>
      <c r="W99" s="4">
        <f t="shared" si="12"/>
        <v>1.41864336246359</v>
      </c>
    </row>
    <row r="100" spans="1:23">
      <c r="A100" s="5" t="s">
        <v>117</v>
      </c>
      <c r="B100" s="5">
        <v>14913</v>
      </c>
      <c r="C100" s="5">
        <v>14913</v>
      </c>
      <c r="D100" s="5">
        <v>130397</v>
      </c>
      <c r="E100" s="5">
        <v>2.982</v>
      </c>
      <c r="F100" s="5">
        <v>2.341</v>
      </c>
      <c r="G100" s="5">
        <v>1.538</v>
      </c>
      <c r="H100" s="5">
        <v>2.943</v>
      </c>
      <c r="I100" s="5">
        <v>1.78</v>
      </c>
      <c r="J100" s="5">
        <v>2.635</v>
      </c>
      <c r="K100" s="5">
        <v>130397</v>
      </c>
      <c r="L100" s="5">
        <v>132152</v>
      </c>
      <c r="M100" s="6">
        <f t="shared" si="13"/>
        <v>1.01345889859429</v>
      </c>
      <c r="N100" s="5">
        <v>303108</v>
      </c>
      <c r="O100" s="6">
        <f t="shared" si="14"/>
        <v>2.32450133055208</v>
      </c>
      <c r="P100" s="5">
        <v>76298</v>
      </c>
      <c r="Q100" s="1">
        <f t="shared" si="15"/>
        <v>0.585120823331825</v>
      </c>
      <c r="S100" s="4">
        <f t="shared" si="8"/>
        <v>1.27381460914139</v>
      </c>
      <c r="T100" s="4">
        <f t="shared" si="9"/>
        <v>1.93888166449935</v>
      </c>
      <c r="U100" s="4">
        <f t="shared" si="10"/>
        <v>1.01325178389399</v>
      </c>
      <c r="V100" s="4">
        <f t="shared" si="11"/>
        <v>1.6752808988764</v>
      </c>
      <c r="W100" s="4">
        <f t="shared" si="12"/>
        <v>1.13168880455408</v>
      </c>
    </row>
    <row r="101" spans="1:23">
      <c r="A101" s="5" t="s">
        <v>118</v>
      </c>
      <c r="B101" s="5">
        <v>15343</v>
      </c>
      <c r="C101" s="5">
        <v>15343</v>
      </c>
      <c r="D101" s="5">
        <v>211401</v>
      </c>
      <c r="E101" s="5">
        <v>4.2</v>
      </c>
      <c r="F101" s="5">
        <v>3.004</v>
      </c>
      <c r="G101" s="5">
        <v>2.445</v>
      </c>
      <c r="H101" s="5">
        <v>4.468</v>
      </c>
      <c r="I101" s="5">
        <v>2.405</v>
      </c>
      <c r="J101" s="5">
        <v>2.999</v>
      </c>
      <c r="K101" s="5">
        <v>211401</v>
      </c>
      <c r="L101" s="5">
        <v>219956</v>
      </c>
      <c r="M101" s="6">
        <f t="shared" si="13"/>
        <v>1.04046811509879</v>
      </c>
      <c r="N101" s="5">
        <v>555436</v>
      </c>
      <c r="O101" s="6">
        <f t="shared" si="14"/>
        <v>2.62740478994896</v>
      </c>
      <c r="P101" s="5">
        <v>119498</v>
      </c>
      <c r="Q101" s="1">
        <f t="shared" si="15"/>
        <v>0.565266957109947</v>
      </c>
      <c r="S101" s="4">
        <f t="shared" si="8"/>
        <v>1.39813581890812</v>
      </c>
      <c r="T101" s="4">
        <f t="shared" si="9"/>
        <v>1.71779141104294</v>
      </c>
      <c r="U101" s="4">
        <f t="shared" si="10"/>
        <v>0.940017905102954</v>
      </c>
      <c r="V101" s="4">
        <f t="shared" si="11"/>
        <v>1.74636174636175</v>
      </c>
      <c r="W101" s="4">
        <f t="shared" si="12"/>
        <v>1.40046682227409</v>
      </c>
    </row>
    <row r="102" spans="1:23">
      <c r="A102" s="5" t="s">
        <v>119</v>
      </c>
      <c r="B102" s="5">
        <v>18354</v>
      </c>
      <c r="C102" s="5">
        <v>18354</v>
      </c>
      <c r="D102" s="5">
        <v>166080</v>
      </c>
      <c r="E102" s="5">
        <v>3.6</v>
      </c>
      <c r="F102" s="5">
        <v>2.726</v>
      </c>
      <c r="G102" s="5">
        <v>1.966</v>
      </c>
      <c r="H102" s="5">
        <v>3.92</v>
      </c>
      <c r="I102" s="5">
        <v>2.461</v>
      </c>
      <c r="J102" s="5">
        <v>3.421</v>
      </c>
      <c r="K102" s="5">
        <v>166080</v>
      </c>
      <c r="L102" s="5">
        <v>170024</v>
      </c>
      <c r="M102" s="6">
        <f t="shared" si="13"/>
        <v>1.02374759152216</v>
      </c>
      <c r="N102" s="5">
        <v>402568</v>
      </c>
      <c r="O102" s="6">
        <f t="shared" si="14"/>
        <v>2.42394026974952</v>
      </c>
      <c r="P102" s="5">
        <v>97734</v>
      </c>
      <c r="Q102" s="1">
        <f t="shared" si="15"/>
        <v>0.588475433526012</v>
      </c>
      <c r="S102" s="4">
        <f t="shared" si="8"/>
        <v>1.32061628760088</v>
      </c>
      <c r="T102" s="4">
        <f t="shared" si="9"/>
        <v>1.83112919633774</v>
      </c>
      <c r="U102" s="4">
        <f t="shared" si="10"/>
        <v>0.918367346938776</v>
      </c>
      <c r="V102" s="4">
        <f t="shared" si="11"/>
        <v>1.46281999187322</v>
      </c>
      <c r="W102" s="4">
        <f t="shared" si="12"/>
        <v>1.05232388190588</v>
      </c>
    </row>
    <row r="103" spans="1:23">
      <c r="A103" s="5" t="s">
        <v>120</v>
      </c>
      <c r="B103" s="5">
        <v>21132</v>
      </c>
      <c r="C103" s="5">
        <v>21132</v>
      </c>
      <c r="D103" s="5">
        <v>157042</v>
      </c>
      <c r="E103" s="5">
        <v>3.596</v>
      </c>
      <c r="F103" s="5">
        <v>2.871</v>
      </c>
      <c r="G103" s="5">
        <v>2.09</v>
      </c>
      <c r="H103" s="5">
        <v>4.116</v>
      </c>
      <c r="I103" s="5">
        <v>2.636</v>
      </c>
      <c r="J103" s="5">
        <v>3.319</v>
      </c>
      <c r="K103" s="5">
        <v>157042</v>
      </c>
      <c r="L103" s="5">
        <v>163060</v>
      </c>
      <c r="M103" s="6">
        <f t="shared" si="13"/>
        <v>1.03832095872442</v>
      </c>
      <c r="N103" s="5">
        <v>404296</v>
      </c>
      <c r="O103" s="6">
        <f t="shared" si="14"/>
        <v>2.57444505291578</v>
      </c>
      <c r="P103" s="5">
        <v>97016</v>
      </c>
      <c r="Q103" s="1">
        <f t="shared" si="15"/>
        <v>0.617771042141593</v>
      </c>
      <c r="S103" s="4">
        <f t="shared" si="8"/>
        <v>1.25252525252525</v>
      </c>
      <c r="T103" s="4">
        <f t="shared" si="9"/>
        <v>1.72057416267943</v>
      </c>
      <c r="U103" s="4">
        <f t="shared" si="10"/>
        <v>0.873663751214772</v>
      </c>
      <c r="V103" s="4">
        <f t="shared" si="11"/>
        <v>1.36418816388467</v>
      </c>
      <c r="W103" s="4">
        <f t="shared" si="12"/>
        <v>1.08345887315456</v>
      </c>
    </row>
    <row r="104" spans="1:23">
      <c r="A104" s="5" t="s">
        <v>121</v>
      </c>
      <c r="B104" s="5">
        <v>22401</v>
      </c>
      <c r="C104" s="5">
        <v>22401</v>
      </c>
      <c r="D104" s="5">
        <v>193625</v>
      </c>
      <c r="E104" s="5">
        <v>4.364</v>
      </c>
      <c r="F104" s="5">
        <v>3.372</v>
      </c>
      <c r="G104" s="5">
        <v>2.518</v>
      </c>
      <c r="H104" s="5">
        <v>4.632</v>
      </c>
      <c r="I104" s="5">
        <v>2.974</v>
      </c>
      <c r="J104" s="5">
        <v>4.15</v>
      </c>
      <c r="K104" s="5">
        <v>193625</v>
      </c>
      <c r="L104" s="5">
        <v>205576</v>
      </c>
      <c r="M104" s="6">
        <f t="shared" si="13"/>
        <v>1.06172240154939</v>
      </c>
      <c r="N104" s="5">
        <v>469532</v>
      </c>
      <c r="O104" s="6">
        <f t="shared" si="14"/>
        <v>2.42495545513234</v>
      </c>
      <c r="P104" s="5">
        <v>114404</v>
      </c>
      <c r="Q104" s="1">
        <f t="shared" si="15"/>
        <v>0.590853453841188</v>
      </c>
      <c r="S104" s="4">
        <f t="shared" si="8"/>
        <v>1.29418742586002</v>
      </c>
      <c r="T104" s="4">
        <f t="shared" si="9"/>
        <v>1.73312152501986</v>
      </c>
      <c r="U104" s="4">
        <f t="shared" si="10"/>
        <v>0.942141623488774</v>
      </c>
      <c r="V104" s="4">
        <f t="shared" si="11"/>
        <v>1.46738399462004</v>
      </c>
      <c r="W104" s="4">
        <f t="shared" si="12"/>
        <v>1.05156626506024</v>
      </c>
    </row>
    <row r="105" spans="1:23">
      <c r="A105" s="5" t="s">
        <v>122</v>
      </c>
      <c r="B105" s="5">
        <v>23196</v>
      </c>
      <c r="C105" s="5">
        <v>23196</v>
      </c>
      <c r="D105" s="5">
        <v>203050</v>
      </c>
      <c r="E105" s="5">
        <v>4.399</v>
      </c>
      <c r="F105" s="5">
        <v>3.451</v>
      </c>
      <c r="G105" s="5">
        <v>2.473</v>
      </c>
      <c r="H105" s="5">
        <v>4.871</v>
      </c>
      <c r="I105" s="5">
        <v>3.106</v>
      </c>
      <c r="J105" s="5">
        <v>4.24</v>
      </c>
      <c r="K105" s="5">
        <v>203050</v>
      </c>
      <c r="L105" s="5">
        <v>210116</v>
      </c>
      <c r="M105" s="6">
        <f t="shared" si="13"/>
        <v>1.03479931051465</v>
      </c>
      <c r="N105" s="5">
        <v>498780</v>
      </c>
      <c r="O105" s="6">
        <f t="shared" si="14"/>
        <v>2.45643930066486</v>
      </c>
      <c r="P105" s="5">
        <v>121908</v>
      </c>
      <c r="Q105" s="1">
        <f t="shared" si="15"/>
        <v>0.600384141836986</v>
      </c>
      <c r="S105" s="4">
        <f t="shared" si="8"/>
        <v>1.27470298464213</v>
      </c>
      <c r="T105" s="4">
        <f t="shared" si="9"/>
        <v>1.77881116053376</v>
      </c>
      <c r="U105" s="4">
        <f t="shared" si="10"/>
        <v>0.903099979470335</v>
      </c>
      <c r="V105" s="4">
        <f t="shared" si="11"/>
        <v>1.41629104958146</v>
      </c>
      <c r="W105" s="4">
        <f t="shared" si="12"/>
        <v>1.0375</v>
      </c>
    </row>
    <row r="106" spans="1:23">
      <c r="A106" s="5" t="s">
        <v>123</v>
      </c>
      <c r="B106" s="5">
        <v>23948</v>
      </c>
      <c r="C106" s="5">
        <v>23948</v>
      </c>
      <c r="D106" s="5">
        <v>202716</v>
      </c>
      <c r="E106" s="5">
        <v>4.47</v>
      </c>
      <c r="F106" s="5">
        <v>3.535</v>
      </c>
      <c r="G106" s="5">
        <v>2.473</v>
      </c>
      <c r="H106" s="5">
        <v>4.931</v>
      </c>
      <c r="I106" s="5">
        <v>3.207</v>
      </c>
      <c r="J106" s="5">
        <v>4.22</v>
      </c>
      <c r="K106" s="5">
        <v>202716</v>
      </c>
      <c r="L106" s="5">
        <v>209100</v>
      </c>
      <c r="M106" s="6">
        <f t="shared" si="13"/>
        <v>1.03149233410288</v>
      </c>
      <c r="N106" s="5">
        <v>493708</v>
      </c>
      <c r="O106" s="6">
        <f t="shared" si="14"/>
        <v>2.43546636673968</v>
      </c>
      <c r="P106" s="5">
        <v>121274</v>
      </c>
      <c r="Q106" s="1">
        <f t="shared" si="15"/>
        <v>0.59824582174076</v>
      </c>
      <c r="S106" s="4">
        <f t="shared" si="8"/>
        <v>1.26449787835926</v>
      </c>
      <c r="T106" s="4">
        <f t="shared" si="9"/>
        <v>1.80752122927618</v>
      </c>
      <c r="U106" s="4">
        <f t="shared" si="10"/>
        <v>0.906509835733117</v>
      </c>
      <c r="V106" s="4">
        <f t="shared" si="11"/>
        <v>1.39382600561272</v>
      </c>
      <c r="W106" s="4">
        <f t="shared" si="12"/>
        <v>1.05924170616114</v>
      </c>
    </row>
    <row r="107" spans="1:23">
      <c r="A107" s="5" t="s">
        <v>124</v>
      </c>
      <c r="B107" s="5">
        <v>30235</v>
      </c>
      <c r="C107" s="5">
        <v>30235</v>
      </c>
      <c r="D107" s="5">
        <v>372213</v>
      </c>
      <c r="E107" s="5">
        <v>7.928</v>
      </c>
      <c r="F107" s="5">
        <v>6.022</v>
      </c>
      <c r="G107" s="5">
        <v>4.725</v>
      </c>
      <c r="H107" s="5">
        <v>6.856</v>
      </c>
      <c r="I107" s="5">
        <v>4.382</v>
      </c>
      <c r="J107" s="5">
        <v>5.709</v>
      </c>
      <c r="K107" s="5">
        <v>372213</v>
      </c>
      <c r="L107" s="5">
        <v>384216</v>
      </c>
      <c r="M107" s="6">
        <f t="shared" si="13"/>
        <v>1.03224766464363</v>
      </c>
      <c r="N107" s="5">
        <v>714192</v>
      </c>
      <c r="O107" s="6">
        <f t="shared" si="14"/>
        <v>1.91877231585141</v>
      </c>
      <c r="P107" s="5">
        <v>208218</v>
      </c>
      <c r="Q107" s="1">
        <f t="shared" si="15"/>
        <v>0.559405501688549</v>
      </c>
      <c r="S107" s="4">
        <f t="shared" si="8"/>
        <v>1.31650614413816</v>
      </c>
      <c r="T107" s="4">
        <f t="shared" si="9"/>
        <v>1.6778835978836</v>
      </c>
      <c r="U107" s="4">
        <f t="shared" si="10"/>
        <v>1.15635939323221</v>
      </c>
      <c r="V107" s="4">
        <f t="shared" si="11"/>
        <v>1.80921953445915</v>
      </c>
      <c r="W107" s="4">
        <f t="shared" si="12"/>
        <v>1.3886845331932</v>
      </c>
    </row>
    <row r="108" spans="1:23">
      <c r="A108" s="5" t="s">
        <v>125</v>
      </c>
      <c r="B108" s="5">
        <v>31793</v>
      </c>
      <c r="C108" s="5">
        <v>31793</v>
      </c>
      <c r="D108" s="5">
        <v>391693</v>
      </c>
      <c r="E108" s="5">
        <v>8.046</v>
      </c>
      <c r="F108" s="5">
        <v>6.316</v>
      </c>
      <c r="G108" s="5">
        <v>4.807</v>
      </c>
      <c r="H108" s="5">
        <v>7.396</v>
      </c>
      <c r="I108" s="5">
        <v>5.327</v>
      </c>
      <c r="J108" s="5">
        <v>6.318</v>
      </c>
      <c r="K108" s="5">
        <v>391693</v>
      </c>
      <c r="L108" s="5">
        <v>403624</v>
      </c>
      <c r="M108" s="6">
        <f t="shared" si="13"/>
        <v>1.03046007970528</v>
      </c>
      <c r="N108" s="5">
        <v>794164</v>
      </c>
      <c r="O108" s="6">
        <f t="shared" si="14"/>
        <v>2.02751644783032</v>
      </c>
      <c r="P108" s="5">
        <v>223952</v>
      </c>
      <c r="Q108" s="1">
        <f t="shared" si="15"/>
        <v>0.57175389909955</v>
      </c>
      <c r="S108" s="4">
        <f t="shared" si="8"/>
        <v>1.27390753641545</v>
      </c>
      <c r="T108" s="4">
        <f t="shared" si="9"/>
        <v>1.6738090285001</v>
      </c>
      <c r="U108" s="4">
        <f t="shared" si="10"/>
        <v>1.08788534342888</v>
      </c>
      <c r="V108" s="4">
        <f t="shared" si="11"/>
        <v>1.51041862211376</v>
      </c>
      <c r="W108" s="4">
        <f t="shared" si="12"/>
        <v>1.27350427350427</v>
      </c>
    </row>
    <row r="109" spans="1:23">
      <c r="A109" s="5" t="s">
        <v>126</v>
      </c>
      <c r="B109" s="5">
        <v>32780</v>
      </c>
      <c r="C109" s="5">
        <v>32780</v>
      </c>
      <c r="D109" s="5">
        <v>403450</v>
      </c>
      <c r="E109" s="5">
        <v>8.289</v>
      </c>
      <c r="F109" s="5">
        <v>6.603</v>
      </c>
      <c r="G109" s="5">
        <v>5.144</v>
      </c>
      <c r="H109" s="5">
        <v>8.693</v>
      </c>
      <c r="I109" s="5">
        <v>5.69</v>
      </c>
      <c r="J109" s="5">
        <v>6.823</v>
      </c>
      <c r="K109" s="5">
        <v>403450</v>
      </c>
      <c r="L109" s="5">
        <v>415532</v>
      </c>
      <c r="M109" s="6">
        <f t="shared" si="13"/>
        <v>1.02994670962945</v>
      </c>
      <c r="N109" s="5">
        <v>956712</v>
      </c>
      <c r="O109" s="6">
        <f t="shared" si="14"/>
        <v>2.37132730202008</v>
      </c>
      <c r="P109" s="5">
        <v>233464</v>
      </c>
      <c r="Q109" s="1">
        <f t="shared" si="15"/>
        <v>0.578668980047094</v>
      </c>
      <c r="S109" s="4">
        <f t="shared" si="8"/>
        <v>1.25533848250795</v>
      </c>
      <c r="T109" s="4">
        <f t="shared" si="9"/>
        <v>1.61139191290824</v>
      </c>
      <c r="U109" s="4">
        <f t="shared" si="10"/>
        <v>0.95352582537674</v>
      </c>
      <c r="V109" s="4">
        <f t="shared" si="11"/>
        <v>1.45676625659051</v>
      </c>
      <c r="W109" s="4">
        <f t="shared" si="12"/>
        <v>1.21486149787484</v>
      </c>
    </row>
    <row r="110" spans="1:23">
      <c r="A110" s="5" t="s">
        <v>127</v>
      </c>
      <c r="B110" s="5">
        <v>35910</v>
      </c>
      <c r="C110" s="5">
        <v>35910</v>
      </c>
      <c r="D110" s="5">
        <v>380900</v>
      </c>
      <c r="E110" s="5">
        <v>8.251</v>
      </c>
      <c r="F110" s="5">
        <v>6.597</v>
      </c>
      <c r="G110" s="5">
        <v>5.116</v>
      </c>
      <c r="H110" s="5">
        <v>8.175</v>
      </c>
      <c r="I110" s="5">
        <v>5.155</v>
      </c>
      <c r="J110" s="5">
        <v>6.605</v>
      </c>
      <c r="K110" s="5">
        <v>380900</v>
      </c>
      <c r="L110" s="5">
        <v>393048</v>
      </c>
      <c r="M110" s="6">
        <f t="shared" si="13"/>
        <v>1.03189288527172</v>
      </c>
      <c r="N110" s="5">
        <v>852108</v>
      </c>
      <c r="O110" s="6">
        <f t="shared" si="14"/>
        <v>2.23709110002625</v>
      </c>
      <c r="P110" s="5">
        <v>221492</v>
      </c>
      <c r="Q110" s="1">
        <f t="shared" si="15"/>
        <v>0.581496455762667</v>
      </c>
      <c r="S110" s="4">
        <f t="shared" si="8"/>
        <v>1.25072002425345</v>
      </c>
      <c r="T110" s="4">
        <f t="shared" si="9"/>
        <v>1.61278342455043</v>
      </c>
      <c r="U110" s="4">
        <f t="shared" si="10"/>
        <v>1.00929663608563</v>
      </c>
      <c r="V110" s="4">
        <f t="shared" si="11"/>
        <v>1.60058195926285</v>
      </c>
      <c r="W110" s="4">
        <f t="shared" si="12"/>
        <v>1.24920514761544</v>
      </c>
    </row>
    <row r="111" spans="1:23">
      <c r="A111" s="5" t="s">
        <v>128</v>
      </c>
      <c r="B111" s="5">
        <v>37833</v>
      </c>
      <c r="C111" s="5">
        <v>37833</v>
      </c>
      <c r="D111" s="5">
        <v>405197</v>
      </c>
      <c r="E111" s="5">
        <v>9.032</v>
      </c>
      <c r="F111" s="5">
        <v>6.836</v>
      </c>
      <c r="G111" s="5">
        <v>5.266</v>
      </c>
      <c r="H111" s="5">
        <v>8.398</v>
      </c>
      <c r="I111" s="5">
        <v>4.935</v>
      </c>
      <c r="J111" s="5">
        <v>6.485</v>
      </c>
      <c r="K111" s="5">
        <v>405197</v>
      </c>
      <c r="L111" s="5">
        <v>420308</v>
      </c>
      <c r="M111" s="6">
        <f t="shared" si="13"/>
        <v>1.03729297107333</v>
      </c>
      <c r="N111" s="5">
        <v>855104</v>
      </c>
      <c r="O111" s="6">
        <f t="shared" si="14"/>
        <v>2.11034138949696</v>
      </c>
      <c r="P111" s="5">
        <v>229600</v>
      </c>
      <c r="Q111" s="1">
        <f t="shared" si="15"/>
        <v>0.566637956352095</v>
      </c>
      <c r="S111" s="4">
        <f t="shared" si="8"/>
        <v>1.32124049151551</v>
      </c>
      <c r="T111" s="4">
        <f t="shared" si="9"/>
        <v>1.71515381693885</v>
      </c>
      <c r="U111" s="4">
        <f t="shared" si="10"/>
        <v>1.07549416527745</v>
      </c>
      <c r="V111" s="4">
        <f t="shared" si="11"/>
        <v>1.83019250253293</v>
      </c>
      <c r="W111" s="4">
        <f t="shared" si="12"/>
        <v>1.39275250578258</v>
      </c>
    </row>
    <row r="112" spans="1:23">
      <c r="A112" s="5" t="s">
        <v>129</v>
      </c>
      <c r="B112" s="5">
        <v>37595</v>
      </c>
      <c r="C112" s="5">
        <v>37595</v>
      </c>
      <c r="D112" s="5">
        <v>552557</v>
      </c>
      <c r="E112" s="5">
        <v>11.173</v>
      </c>
      <c r="F112" s="5">
        <v>9.008</v>
      </c>
      <c r="G112" s="5">
        <v>7.15</v>
      </c>
      <c r="H112" s="5">
        <v>11.425</v>
      </c>
      <c r="I112" s="5">
        <v>7.038</v>
      </c>
      <c r="J112" s="5">
        <v>8.976</v>
      </c>
      <c r="K112" s="5">
        <v>552557</v>
      </c>
      <c r="L112" s="5">
        <v>581648</v>
      </c>
      <c r="M112" s="6">
        <f t="shared" si="13"/>
        <v>1.0526479621107</v>
      </c>
      <c r="N112" s="5">
        <v>1366180</v>
      </c>
      <c r="O112" s="6">
        <f t="shared" si="14"/>
        <v>2.47246890366062</v>
      </c>
      <c r="P112" s="5">
        <v>311500</v>
      </c>
      <c r="Q112" s="1">
        <f t="shared" si="15"/>
        <v>0.563742745092362</v>
      </c>
      <c r="S112" s="4">
        <f t="shared" si="8"/>
        <v>1.24034191829485</v>
      </c>
      <c r="T112" s="4">
        <f t="shared" si="9"/>
        <v>1.56265734265734</v>
      </c>
      <c r="U112" s="4">
        <f t="shared" si="10"/>
        <v>0.977943107221007</v>
      </c>
      <c r="V112" s="4">
        <f t="shared" si="11"/>
        <v>1.58752486501847</v>
      </c>
      <c r="W112" s="4">
        <f t="shared" si="12"/>
        <v>1.24476381461676</v>
      </c>
    </row>
    <row r="113" spans="1:23">
      <c r="A113" s="5" t="s">
        <v>130</v>
      </c>
      <c r="B113" s="5">
        <v>41282</v>
      </c>
      <c r="C113" s="5">
        <v>41282</v>
      </c>
      <c r="D113" s="5">
        <v>480536</v>
      </c>
      <c r="E113" s="5">
        <v>10.27</v>
      </c>
      <c r="F113" s="5">
        <v>8.23</v>
      </c>
      <c r="G113" s="5">
        <v>6.213</v>
      </c>
      <c r="H113" s="5">
        <v>10.834</v>
      </c>
      <c r="I113" s="5">
        <v>6.705</v>
      </c>
      <c r="J113" s="5">
        <v>8.274</v>
      </c>
      <c r="K113" s="5">
        <v>480536</v>
      </c>
      <c r="L113" s="5">
        <v>492768</v>
      </c>
      <c r="M113" s="6">
        <f t="shared" si="13"/>
        <v>1.0254549086853</v>
      </c>
      <c r="N113" s="5">
        <v>1144100</v>
      </c>
      <c r="O113" s="6">
        <f t="shared" si="14"/>
        <v>2.38088301396774</v>
      </c>
      <c r="P113" s="5">
        <v>277866</v>
      </c>
      <c r="Q113" s="1">
        <f t="shared" si="15"/>
        <v>0.578241796660396</v>
      </c>
      <c r="S113" s="4">
        <f t="shared" si="8"/>
        <v>1.24787363304982</v>
      </c>
      <c r="T113" s="4">
        <f t="shared" si="9"/>
        <v>1.65298567519717</v>
      </c>
      <c r="U113" s="4">
        <f t="shared" si="10"/>
        <v>0.9479416651283</v>
      </c>
      <c r="V113" s="4">
        <f t="shared" si="11"/>
        <v>1.5316927665921</v>
      </c>
      <c r="W113" s="4">
        <f t="shared" si="12"/>
        <v>1.24123761179599</v>
      </c>
    </row>
    <row r="114" spans="1:23">
      <c r="A114" s="5" t="s">
        <v>131</v>
      </c>
      <c r="B114" s="5">
        <v>43640</v>
      </c>
      <c r="C114" s="5">
        <v>43640</v>
      </c>
      <c r="D114" s="5">
        <v>298578</v>
      </c>
      <c r="E114" s="5">
        <v>7.69</v>
      </c>
      <c r="F114" s="5">
        <v>6.253</v>
      </c>
      <c r="G114" s="5">
        <v>4.415</v>
      </c>
      <c r="H114" s="5">
        <v>8.459</v>
      </c>
      <c r="I114" s="5">
        <v>5.418</v>
      </c>
      <c r="J114" s="5">
        <v>6.821</v>
      </c>
      <c r="K114" s="5">
        <v>298578</v>
      </c>
      <c r="L114" s="5">
        <v>306844</v>
      </c>
      <c r="M114" s="6">
        <f t="shared" si="13"/>
        <v>1.02768455813891</v>
      </c>
      <c r="N114" s="5">
        <v>791076</v>
      </c>
      <c r="O114" s="6">
        <f t="shared" si="14"/>
        <v>2.64947852822378</v>
      </c>
      <c r="P114" s="5">
        <v>185560</v>
      </c>
      <c r="Q114" s="1">
        <f t="shared" si="15"/>
        <v>0.62147914447816</v>
      </c>
      <c r="S114" s="4">
        <f t="shared" si="8"/>
        <v>1.22980969134815</v>
      </c>
      <c r="T114" s="4">
        <f t="shared" si="9"/>
        <v>1.74178935447339</v>
      </c>
      <c r="U114" s="4">
        <f t="shared" si="10"/>
        <v>0.909090909090909</v>
      </c>
      <c r="V114" s="4">
        <f t="shared" si="11"/>
        <v>1.41934293097084</v>
      </c>
      <c r="W114" s="4">
        <f t="shared" si="12"/>
        <v>1.12740067438792</v>
      </c>
    </row>
    <row r="115" spans="1:23">
      <c r="A115" s="5" t="s">
        <v>132</v>
      </c>
      <c r="B115" s="5">
        <v>43618</v>
      </c>
      <c r="C115" s="5">
        <v>43618</v>
      </c>
      <c r="D115" s="5">
        <v>310016</v>
      </c>
      <c r="E115" s="5">
        <v>7.337</v>
      </c>
      <c r="F115" s="5">
        <v>5.982</v>
      </c>
      <c r="G115" s="5">
        <v>4.284</v>
      </c>
      <c r="H115" s="5">
        <v>8.717</v>
      </c>
      <c r="I115" s="5">
        <v>5.485</v>
      </c>
      <c r="J115" s="5">
        <v>7.12</v>
      </c>
      <c r="K115" s="5">
        <v>310016</v>
      </c>
      <c r="L115" s="5">
        <v>320728</v>
      </c>
      <c r="M115" s="6">
        <f t="shared" si="13"/>
        <v>1.03455305532618</v>
      </c>
      <c r="N115" s="5">
        <v>818072</v>
      </c>
      <c r="O115" s="6">
        <f t="shared" si="14"/>
        <v>2.63880573905863</v>
      </c>
      <c r="P115" s="5">
        <v>192358</v>
      </c>
      <c r="Q115" s="1">
        <f t="shared" si="15"/>
        <v>0.620477652766309</v>
      </c>
      <c r="S115" s="4">
        <f t="shared" si="8"/>
        <v>1.22651287194918</v>
      </c>
      <c r="T115" s="4">
        <f t="shared" si="9"/>
        <v>1.71265172735761</v>
      </c>
      <c r="U115" s="4">
        <f t="shared" si="10"/>
        <v>0.841688654353562</v>
      </c>
      <c r="V115" s="4">
        <f t="shared" si="11"/>
        <v>1.33764813126709</v>
      </c>
      <c r="W115" s="4">
        <f t="shared" si="12"/>
        <v>1.03047752808989</v>
      </c>
    </row>
    <row r="116" spans="1:23">
      <c r="A116" s="5" t="s">
        <v>133</v>
      </c>
      <c r="B116" s="5">
        <v>41731</v>
      </c>
      <c r="C116" s="5">
        <v>41731</v>
      </c>
      <c r="D116" s="5">
        <v>559343</v>
      </c>
      <c r="E116" s="5">
        <v>11.447</v>
      </c>
      <c r="F116" s="5">
        <v>9.546</v>
      </c>
      <c r="G116" s="5">
        <v>7.449</v>
      </c>
      <c r="H116" s="5">
        <v>12.136</v>
      </c>
      <c r="I116" s="5">
        <v>7.818</v>
      </c>
      <c r="J116" s="5">
        <v>9.561</v>
      </c>
      <c r="K116" s="5">
        <v>559343</v>
      </c>
      <c r="L116" s="5">
        <v>586740</v>
      </c>
      <c r="M116" s="6">
        <f t="shared" si="13"/>
        <v>1.04898067911818</v>
      </c>
      <c r="N116" s="5">
        <v>1346256</v>
      </c>
      <c r="O116" s="6">
        <f t="shared" si="14"/>
        <v>2.40685232495982</v>
      </c>
      <c r="P116" s="5">
        <v>326630</v>
      </c>
      <c r="Q116" s="1">
        <f t="shared" si="15"/>
        <v>0.583952959096654</v>
      </c>
      <c r="S116" s="4">
        <f t="shared" si="8"/>
        <v>1.19914100146658</v>
      </c>
      <c r="T116" s="4">
        <f t="shared" si="9"/>
        <v>1.53671633776346</v>
      </c>
      <c r="U116" s="4">
        <f t="shared" si="10"/>
        <v>0.943226763348715</v>
      </c>
      <c r="V116" s="4">
        <f t="shared" si="11"/>
        <v>1.46418521360962</v>
      </c>
      <c r="W116" s="4">
        <f t="shared" si="12"/>
        <v>1.19725970086811</v>
      </c>
    </row>
    <row r="117" spans="1:23">
      <c r="A117" s="5" t="s">
        <v>134</v>
      </c>
      <c r="B117" s="5">
        <v>41731</v>
      </c>
      <c r="C117" s="5">
        <v>41731</v>
      </c>
      <c r="D117" s="5">
        <v>559343</v>
      </c>
      <c r="E117" s="5">
        <v>11.149</v>
      </c>
      <c r="F117" s="5">
        <v>9.201</v>
      </c>
      <c r="G117" s="5">
        <v>6.991</v>
      </c>
      <c r="H117" s="5">
        <v>11.924</v>
      </c>
      <c r="I117" s="5">
        <v>7.931</v>
      </c>
      <c r="J117" s="5">
        <v>9.46</v>
      </c>
      <c r="K117" s="5">
        <v>559343</v>
      </c>
      <c r="L117" s="5">
        <v>586740</v>
      </c>
      <c r="M117" s="6">
        <f t="shared" si="13"/>
        <v>1.04898067911818</v>
      </c>
      <c r="N117" s="5">
        <v>1346256</v>
      </c>
      <c r="O117" s="6">
        <f t="shared" si="14"/>
        <v>2.40685232495982</v>
      </c>
      <c r="P117" s="5">
        <v>326630</v>
      </c>
      <c r="Q117" s="1">
        <f t="shared" si="15"/>
        <v>0.583952959096654</v>
      </c>
      <c r="S117" s="4">
        <f t="shared" si="8"/>
        <v>1.21171611781328</v>
      </c>
      <c r="T117" s="4">
        <f t="shared" si="9"/>
        <v>1.59476469746817</v>
      </c>
      <c r="U117" s="4">
        <f t="shared" si="10"/>
        <v>0.9350050318685</v>
      </c>
      <c r="V117" s="4">
        <f t="shared" si="11"/>
        <v>1.40574959021561</v>
      </c>
      <c r="W117" s="4">
        <f t="shared" si="12"/>
        <v>1.17854122621564</v>
      </c>
    </row>
    <row r="118" spans="1:23">
      <c r="A118" s="5" t="s">
        <v>135</v>
      </c>
      <c r="B118" s="5">
        <v>44234</v>
      </c>
      <c r="C118" s="5">
        <v>44234</v>
      </c>
      <c r="D118" s="5">
        <v>434704</v>
      </c>
      <c r="E118" s="5">
        <v>9.662</v>
      </c>
      <c r="F118" s="5">
        <v>7.844</v>
      </c>
      <c r="G118" s="5">
        <v>5.776</v>
      </c>
      <c r="H118" s="5">
        <v>10.394</v>
      </c>
      <c r="I118" s="5">
        <v>6.831</v>
      </c>
      <c r="J118" s="5">
        <v>10.053</v>
      </c>
      <c r="K118" s="5">
        <v>434704</v>
      </c>
      <c r="L118" s="5">
        <v>447676</v>
      </c>
      <c r="M118" s="6">
        <f t="shared" si="13"/>
        <v>1.02984099525194</v>
      </c>
      <c r="N118" s="5">
        <v>1052772</v>
      </c>
      <c r="O118" s="6">
        <f t="shared" si="14"/>
        <v>2.42181346387427</v>
      </c>
      <c r="P118" s="5">
        <v>256958</v>
      </c>
      <c r="Q118" s="1">
        <f t="shared" si="15"/>
        <v>0.591110272737311</v>
      </c>
      <c r="S118" s="4">
        <f t="shared" si="8"/>
        <v>1.23176950535441</v>
      </c>
      <c r="T118" s="4">
        <f t="shared" si="9"/>
        <v>1.67278393351801</v>
      </c>
      <c r="U118" s="4">
        <f t="shared" si="10"/>
        <v>0.929574754666154</v>
      </c>
      <c r="V118" s="4">
        <f t="shared" si="11"/>
        <v>1.41443419704289</v>
      </c>
      <c r="W118" s="4">
        <f t="shared" si="12"/>
        <v>0.961106137471402</v>
      </c>
    </row>
    <row r="119" spans="1:23">
      <c r="A119" s="5" t="s">
        <v>136</v>
      </c>
      <c r="B119" s="5">
        <v>51035</v>
      </c>
      <c r="C119" s="5">
        <v>51035</v>
      </c>
      <c r="D119" s="5">
        <v>717841</v>
      </c>
      <c r="E119" s="5">
        <v>14.999</v>
      </c>
      <c r="F119" s="5">
        <v>11.702</v>
      </c>
      <c r="G119" s="5">
        <v>9.2</v>
      </c>
      <c r="H119" s="5">
        <v>12.973</v>
      </c>
      <c r="I119" s="5">
        <v>8.312</v>
      </c>
      <c r="J119" s="5">
        <v>10.852</v>
      </c>
      <c r="K119" s="5">
        <v>717841</v>
      </c>
      <c r="L119" s="5">
        <v>736976</v>
      </c>
      <c r="M119" s="6">
        <f t="shared" si="13"/>
        <v>1.02665632082871</v>
      </c>
      <c r="N119" s="5">
        <v>1348800</v>
      </c>
      <c r="O119" s="6">
        <f t="shared" si="14"/>
        <v>1.87896762653568</v>
      </c>
      <c r="P119" s="5">
        <v>398474</v>
      </c>
      <c r="Q119" s="1">
        <f t="shared" si="15"/>
        <v>0.55510064206419</v>
      </c>
      <c r="S119" s="4">
        <f t="shared" si="8"/>
        <v>1.28174670996411</v>
      </c>
      <c r="T119" s="4">
        <f t="shared" si="9"/>
        <v>1.63032608695652</v>
      </c>
      <c r="U119" s="4">
        <f t="shared" si="10"/>
        <v>1.15617050797811</v>
      </c>
      <c r="V119" s="4">
        <f t="shared" si="11"/>
        <v>1.80449951876805</v>
      </c>
      <c r="W119" s="4">
        <f t="shared" si="12"/>
        <v>1.38214154072982</v>
      </c>
    </row>
    <row r="120" spans="1:23">
      <c r="A120" s="5" t="s">
        <v>137</v>
      </c>
      <c r="B120" s="5">
        <v>51035</v>
      </c>
      <c r="C120" s="5">
        <v>51035</v>
      </c>
      <c r="D120" s="5">
        <v>717841</v>
      </c>
      <c r="E120" s="5">
        <v>14.808</v>
      </c>
      <c r="F120" s="5">
        <v>11.27</v>
      </c>
      <c r="G120" s="5">
        <v>9.555</v>
      </c>
      <c r="H120" s="5">
        <v>12.894</v>
      </c>
      <c r="I120" s="5">
        <v>8.244</v>
      </c>
      <c r="J120" s="5">
        <v>10.727</v>
      </c>
      <c r="K120" s="5">
        <v>717841</v>
      </c>
      <c r="L120" s="5">
        <v>736976</v>
      </c>
      <c r="M120" s="6">
        <f t="shared" si="13"/>
        <v>1.02665632082871</v>
      </c>
      <c r="N120" s="5">
        <v>1348800</v>
      </c>
      <c r="O120" s="6">
        <f t="shared" si="14"/>
        <v>1.87896762653568</v>
      </c>
      <c r="P120" s="5">
        <v>398474</v>
      </c>
      <c r="Q120" s="1">
        <f t="shared" si="15"/>
        <v>0.55510064206419</v>
      </c>
      <c r="S120" s="4">
        <f t="shared" si="8"/>
        <v>1.31393078970719</v>
      </c>
      <c r="T120" s="4">
        <f t="shared" si="9"/>
        <v>1.54976452119309</v>
      </c>
      <c r="U120" s="4">
        <f t="shared" si="10"/>
        <v>1.14844113541182</v>
      </c>
      <c r="V120" s="4">
        <f t="shared" si="11"/>
        <v>1.7962154294032</v>
      </c>
      <c r="W120" s="4">
        <f t="shared" si="12"/>
        <v>1.38044187564091</v>
      </c>
    </row>
    <row r="121" spans="1:23">
      <c r="A121" s="5" t="s">
        <v>138</v>
      </c>
      <c r="B121" s="5">
        <v>48066</v>
      </c>
      <c r="C121" s="5">
        <v>48066</v>
      </c>
      <c r="D121" s="5">
        <v>360528</v>
      </c>
      <c r="E121" s="5">
        <v>8.564</v>
      </c>
      <c r="F121" s="5">
        <v>6.987</v>
      </c>
      <c r="G121" s="5">
        <v>5.073</v>
      </c>
      <c r="H121" s="5">
        <v>9.9</v>
      </c>
      <c r="I121" s="5">
        <v>6.363</v>
      </c>
      <c r="J121" s="5">
        <v>8.255</v>
      </c>
      <c r="K121" s="5">
        <v>360528</v>
      </c>
      <c r="L121" s="5">
        <v>373888</v>
      </c>
      <c r="M121" s="6">
        <f t="shared" si="13"/>
        <v>1.03705676119469</v>
      </c>
      <c r="N121" s="5">
        <v>922324</v>
      </c>
      <c r="O121" s="6">
        <f t="shared" si="14"/>
        <v>2.55825899791417</v>
      </c>
      <c r="P121" s="5">
        <v>221360</v>
      </c>
      <c r="Q121" s="1">
        <f t="shared" si="15"/>
        <v>0.613988372609062</v>
      </c>
      <c r="S121" s="4">
        <f t="shared" si="8"/>
        <v>1.22570488049234</v>
      </c>
      <c r="T121" s="4">
        <f t="shared" si="9"/>
        <v>1.68815296668638</v>
      </c>
      <c r="U121" s="4">
        <f t="shared" si="10"/>
        <v>0.865050505050505</v>
      </c>
      <c r="V121" s="4">
        <f t="shared" si="11"/>
        <v>1.34590601917335</v>
      </c>
      <c r="W121" s="4">
        <f t="shared" si="12"/>
        <v>1.0374318594791</v>
      </c>
    </row>
    <row r="122" spans="1:23">
      <c r="A122" s="5" t="s">
        <v>139</v>
      </c>
      <c r="B122" s="5">
        <v>49989</v>
      </c>
      <c r="C122" s="5">
        <v>49989</v>
      </c>
      <c r="D122" s="5">
        <v>499007</v>
      </c>
      <c r="E122" s="5">
        <v>11.547</v>
      </c>
      <c r="F122" s="5">
        <v>9.312</v>
      </c>
      <c r="G122" s="5">
        <v>6.633</v>
      </c>
      <c r="H122" s="5">
        <v>11.47</v>
      </c>
      <c r="I122" s="5">
        <v>7.345</v>
      </c>
      <c r="J122" s="5">
        <v>11.453</v>
      </c>
      <c r="K122" s="5">
        <v>499007</v>
      </c>
      <c r="L122" s="5">
        <v>528768</v>
      </c>
      <c r="M122" s="6">
        <f t="shared" si="13"/>
        <v>1.05964044592561</v>
      </c>
      <c r="N122" s="5">
        <v>1155340</v>
      </c>
      <c r="O122" s="6">
        <f t="shared" si="14"/>
        <v>2.31527814239079</v>
      </c>
      <c r="P122" s="5">
        <v>288040</v>
      </c>
      <c r="Q122" s="1">
        <f t="shared" si="15"/>
        <v>0.577226371573946</v>
      </c>
      <c r="S122" s="4">
        <f t="shared" si="8"/>
        <v>1.24001288659794</v>
      </c>
      <c r="T122" s="4">
        <f t="shared" si="9"/>
        <v>1.74084124830394</v>
      </c>
      <c r="U122" s="4">
        <f t="shared" si="10"/>
        <v>1.00671316477768</v>
      </c>
      <c r="V122" s="4">
        <f t="shared" si="11"/>
        <v>1.57208985704561</v>
      </c>
      <c r="W122" s="4">
        <f t="shared" si="12"/>
        <v>1.0082074565616</v>
      </c>
    </row>
    <row r="123" spans="1:23">
      <c r="A123" s="5" t="s">
        <v>140</v>
      </c>
      <c r="B123" s="5">
        <v>49989</v>
      </c>
      <c r="C123" s="5">
        <v>49989</v>
      </c>
      <c r="D123" s="5">
        <v>499007</v>
      </c>
      <c r="E123" s="5">
        <v>11.591</v>
      </c>
      <c r="F123" s="5">
        <v>9.295</v>
      </c>
      <c r="G123" s="5">
        <v>6.997</v>
      </c>
      <c r="H123" s="5">
        <v>11.645</v>
      </c>
      <c r="I123" s="5">
        <v>7.419</v>
      </c>
      <c r="J123" s="5">
        <v>11.433</v>
      </c>
      <c r="K123" s="5">
        <v>499007</v>
      </c>
      <c r="L123" s="5">
        <v>528768</v>
      </c>
      <c r="M123" s="6">
        <f t="shared" si="13"/>
        <v>1.05964044592561</v>
      </c>
      <c r="N123" s="5">
        <v>1155340</v>
      </c>
      <c r="O123" s="6">
        <f t="shared" si="14"/>
        <v>2.31527814239079</v>
      </c>
      <c r="P123" s="5">
        <v>288040</v>
      </c>
      <c r="Q123" s="1">
        <f t="shared" si="15"/>
        <v>0.577226371573946</v>
      </c>
      <c r="S123" s="4">
        <f t="shared" si="8"/>
        <v>1.2470145239376</v>
      </c>
      <c r="T123" s="4">
        <f t="shared" si="9"/>
        <v>1.65656710018579</v>
      </c>
      <c r="U123" s="4">
        <f t="shared" si="10"/>
        <v>0.995362816659511</v>
      </c>
      <c r="V123" s="4">
        <f t="shared" si="11"/>
        <v>1.56233993799703</v>
      </c>
      <c r="W123" s="4">
        <f t="shared" si="12"/>
        <v>1.01381964488761</v>
      </c>
    </row>
    <row r="124" spans="1:23">
      <c r="A124" s="5" t="s">
        <v>141</v>
      </c>
      <c r="B124" s="5">
        <v>57975</v>
      </c>
      <c r="C124" s="5">
        <v>57975</v>
      </c>
      <c r="D124" s="5">
        <v>531935</v>
      </c>
      <c r="E124" s="5">
        <v>12.393</v>
      </c>
      <c r="F124" s="5">
        <v>9.741</v>
      </c>
      <c r="G124" s="5">
        <v>6.875</v>
      </c>
      <c r="H124" s="5">
        <v>12.392</v>
      </c>
      <c r="I124" s="5">
        <v>7.654</v>
      </c>
      <c r="J124" s="5">
        <v>11.794</v>
      </c>
      <c r="K124" s="5">
        <v>531935</v>
      </c>
      <c r="L124" s="5">
        <v>543152</v>
      </c>
      <c r="M124" s="6">
        <f t="shared" si="13"/>
        <v>1.02108716290524</v>
      </c>
      <c r="N124" s="5">
        <v>1174728</v>
      </c>
      <c r="O124" s="6">
        <f t="shared" si="14"/>
        <v>2.20840516228487</v>
      </c>
      <c r="P124" s="5">
        <v>311968</v>
      </c>
      <c r="Q124" s="1">
        <f t="shared" si="15"/>
        <v>0.586477671144031</v>
      </c>
      <c r="S124" s="4">
        <f t="shared" si="8"/>
        <v>1.27225130890052</v>
      </c>
      <c r="T124" s="4">
        <f t="shared" si="9"/>
        <v>1.80261818181818</v>
      </c>
      <c r="U124" s="4">
        <f t="shared" si="10"/>
        <v>1.00008069722402</v>
      </c>
      <c r="V124" s="4">
        <f t="shared" si="11"/>
        <v>1.61915338385158</v>
      </c>
      <c r="W124" s="4">
        <f t="shared" si="12"/>
        <v>1.05078853654401</v>
      </c>
    </row>
    <row r="125" spans="1:23">
      <c r="A125" s="5" t="s">
        <v>142</v>
      </c>
      <c r="B125" s="5">
        <v>57975</v>
      </c>
      <c r="C125" s="5">
        <v>57975</v>
      </c>
      <c r="D125" s="5">
        <v>531935</v>
      </c>
      <c r="E125" s="5">
        <v>12.594</v>
      </c>
      <c r="F125" s="5">
        <v>10.055</v>
      </c>
      <c r="G125" s="5">
        <v>7.271</v>
      </c>
      <c r="H125" s="5">
        <v>12.385</v>
      </c>
      <c r="I125" s="5">
        <v>7.675</v>
      </c>
      <c r="J125" s="5">
        <v>12.059</v>
      </c>
      <c r="K125" s="5">
        <v>531935</v>
      </c>
      <c r="L125" s="5">
        <v>543152</v>
      </c>
      <c r="M125" s="6">
        <f t="shared" si="13"/>
        <v>1.02108716290524</v>
      </c>
      <c r="N125" s="5">
        <v>1174728</v>
      </c>
      <c r="O125" s="6">
        <f t="shared" si="14"/>
        <v>2.20840516228487</v>
      </c>
      <c r="P125" s="5">
        <v>311968</v>
      </c>
      <c r="Q125" s="1">
        <f t="shared" si="15"/>
        <v>0.586477671144031</v>
      </c>
      <c r="S125" s="4">
        <f t="shared" si="8"/>
        <v>1.25251118846345</v>
      </c>
      <c r="T125" s="4">
        <f t="shared" si="9"/>
        <v>1.732086370513</v>
      </c>
      <c r="U125" s="4">
        <f t="shared" si="10"/>
        <v>1.01687525232136</v>
      </c>
      <c r="V125" s="4">
        <f t="shared" si="11"/>
        <v>1.64091205211726</v>
      </c>
      <c r="W125" s="4">
        <f t="shared" si="12"/>
        <v>1.04436520441164</v>
      </c>
    </row>
    <row r="126" spans="1:23">
      <c r="A126" s="5" t="s">
        <v>143</v>
      </c>
      <c r="B126" s="5">
        <v>64810</v>
      </c>
      <c r="C126" s="5">
        <v>64810</v>
      </c>
      <c r="D126" s="5">
        <v>566006</v>
      </c>
      <c r="E126" s="5">
        <v>13.786</v>
      </c>
      <c r="F126" s="5">
        <v>11.335</v>
      </c>
      <c r="G126" s="5">
        <v>8.052</v>
      </c>
      <c r="H126" s="5">
        <v>15.467</v>
      </c>
      <c r="I126" s="5">
        <v>9.739</v>
      </c>
      <c r="J126" s="5">
        <v>13.653</v>
      </c>
      <c r="K126" s="5">
        <v>566006</v>
      </c>
      <c r="L126" s="5">
        <v>578676</v>
      </c>
      <c r="M126" s="6">
        <f t="shared" si="13"/>
        <v>1.02238492171461</v>
      </c>
      <c r="N126" s="5">
        <v>1475404</v>
      </c>
      <c r="O126" s="6">
        <f t="shared" si="14"/>
        <v>2.60669321526627</v>
      </c>
      <c r="P126" s="5">
        <v>345038</v>
      </c>
      <c r="Q126" s="1">
        <f t="shared" si="15"/>
        <v>0.609601311646873</v>
      </c>
      <c r="S126" s="4">
        <f t="shared" si="8"/>
        <v>1.21623290692545</v>
      </c>
      <c r="T126" s="4">
        <f t="shared" si="9"/>
        <v>1.71212121212121</v>
      </c>
      <c r="U126" s="4">
        <f t="shared" si="10"/>
        <v>0.891316997478503</v>
      </c>
      <c r="V126" s="4">
        <f t="shared" si="11"/>
        <v>1.41554574391621</v>
      </c>
      <c r="W126" s="4">
        <f t="shared" si="12"/>
        <v>1.00974144876584</v>
      </c>
    </row>
    <row r="127" spans="1:23">
      <c r="A127" s="5" t="s">
        <v>144</v>
      </c>
      <c r="B127" s="5">
        <v>67458</v>
      </c>
      <c r="C127" s="5">
        <v>67458</v>
      </c>
      <c r="D127" s="5">
        <v>623970</v>
      </c>
      <c r="E127" s="5">
        <v>14.483</v>
      </c>
      <c r="F127" s="5">
        <v>11.816</v>
      </c>
      <c r="G127" s="5">
        <v>8.641</v>
      </c>
      <c r="H127" s="5">
        <v>15.868</v>
      </c>
      <c r="I127" s="5">
        <v>9.968</v>
      </c>
      <c r="J127" s="5">
        <v>14.342</v>
      </c>
      <c r="K127" s="5">
        <v>623970</v>
      </c>
      <c r="L127" s="5">
        <v>640680</v>
      </c>
      <c r="M127" s="6">
        <f t="shared" si="13"/>
        <v>1.02678013366027</v>
      </c>
      <c r="N127" s="5">
        <v>1530732</v>
      </c>
      <c r="O127" s="6">
        <f t="shared" si="14"/>
        <v>2.45321409683158</v>
      </c>
      <c r="P127" s="5">
        <v>368880</v>
      </c>
      <c r="Q127" s="1">
        <f t="shared" si="15"/>
        <v>0.591182268378287</v>
      </c>
      <c r="S127" s="4">
        <f t="shared" si="8"/>
        <v>1.22571090047393</v>
      </c>
      <c r="T127" s="4">
        <f t="shared" si="9"/>
        <v>1.67607915750492</v>
      </c>
      <c r="U127" s="4">
        <f t="shared" si="10"/>
        <v>0.912717418704311</v>
      </c>
      <c r="V127" s="4">
        <f t="shared" si="11"/>
        <v>1.45294943820225</v>
      </c>
      <c r="W127" s="4">
        <f t="shared" si="12"/>
        <v>1.00983126481662</v>
      </c>
    </row>
    <row r="128" spans="1:23">
      <c r="A128" s="5" t="s">
        <v>145</v>
      </c>
      <c r="B128" s="5">
        <v>68924</v>
      </c>
      <c r="C128" s="5">
        <v>68924</v>
      </c>
      <c r="D128" s="5">
        <v>658986</v>
      </c>
      <c r="E128" s="5">
        <v>15.092</v>
      </c>
      <c r="F128" s="5">
        <v>12.264</v>
      </c>
      <c r="G128" s="5">
        <v>9.261</v>
      </c>
      <c r="H128" s="5">
        <v>16.496</v>
      </c>
      <c r="I128" s="5">
        <v>10.381</v>
      </c>
      <c r="J128" s="5">
        <v>14.614</v>
      </c>
      <c r="K128" s="5">
        <v>658986</v>
      </c>
      <c r="L128" s="5">
        <v>674936</v>
      </c>
      <c r="M128" s="6">
        <f t="shared" si="13"/>
        <v>1.02420385258564</v>
      </c>
      <c r="N128" s="5">
        <v>1620724</v>
      </c>
      <c r="O128" s="6">
        <f t="shared" si="14"/>
        <v>2.45942098921677</v>
      </c>
      <c r="P128" s="5">
        <v>389764</v>
      </c>
      <c r="Q128" s="1">
        <f t="shared" si="15"/>
        <v>0.591460213115301</v>
      </c>
      <c r="S128" s="4">
        <f t="shared" si="8"/>
        <v>1.23059360730594</v>
      </c>
      <c r="T128" s="4">
        <f t="shared" si="9"/>
        <v>1.62962962962963</v>
      </c>
      <c r="U128" s="4">
        <f t="shared" si="10"/>
        <v>0.914888457807954</v>
      </c>
      <c r="V128" s="4">
        <f t="shared" si="11"/>
        <v>1.45380984490897</v>
      </c>
      <c r="W128" s="4">
        <f t="shared" si="12"/>
        <v>1.03270836184481</v>
      </c>
    </row>
    <row r="129" spans="1:23">
      <c r="A129" s="5" t="s">
        <v>146</v>
      </c>
      <c r="B129" s="5">
        <v>76638</v>
      </c>
      <c r="C129" s="5">
        <v>76638</v>
      </c>
      <c r="D129" s="5">
        <v>859554</v>
      </c>
      <c r="E129" s="5">
        <v>19.093</v>
      </c>
      <c r="F129" s="5">
        <v>16.025</v>
      </c>
      <c r="G129" s="5">
        <v>11.947</v>
      </c>
      <c r="H129" s="5">
        <v>20.795</v>
      </c>
      <c r="I129" s="5">
        <v>13.886</v>
      </c>
      <c r="J129" s="5">
        <v>16.217</v>
      </c>
      <c r="K129" s="5">
        <v>859554</v>
      </c>
      <c r="L129" s="5">
        <v>885912</v>
      </c>
      <c r="M129" s="6">
        <f t="shared" si="13"/>
        <v>1.03066474008614</v>
      </c>
      <c r="N129" s="5">
        <v>2091744</v>
      </c>
      <c r="O129" s="6">
        <f t="shared" si="14"/>
        <v>2.43352250120411</v>
      </c>
      <c r="P129" s="5">
        <v>504756</v>
      </c>
      <c r="Q129" s="1">
        <f t="shared" si="15"/>
        <v>0.587230121667749</v>
      </c>
      <c r="S129" s="4">
        <f t="shared" si="8"/>
        <v>1.19145085803432</v>
      </c>
      <c r="T129" s="4">
        <f t="shared" si="9"/>
        <v>1.59814179291872</v>
      </c>
      <c r="U129" s="4">
        <f t="shared" si="10"/>
        <v>0.918153402260159</v>
      </c>
      <c r="V129" s="4">
        <f t="shared" si="11"/>
        <v>1.37498199625522</v>
      </c>
      <c r="W129" s="4">
        <f t="shared" si="12"/>
        <v>1.17734476166985</v>
      </c>
    </row>
    <row r="130" spans="1:23">
      <c r="A130" s="5" t="s">
        <v>147</v>
      </c>
      <c r="B130" s="5">
        <v>84064</v>
      </c>
      <c r="C130" s="5">
        <v>84064</v>
      </c>
      <c r="D130" s="5">
        <v>707558</v>
      </c>
      <c r="E130" s="5">
        <v>17.046</v>
      </c>
      <c r="F130" s="5">
        <v>13.991</v>
      </c>
      <c r="G130" s="5">
        <v>9.595</v>
      </c>
      <c r="H130" s="5">
        <v>18.905</v>
      </c>
      <c r="I130" s="5">
        <v>11.84</v>
      </c>
      <c r="J130" s="5">
        <v>16.352</v>
      </c>
      <c r="K130" s="5">
        <v>707558</v>
      </c>
      <c r="L130" s="5">
        <v>727396</v>
      </c>
      <c r="M130" s="6">
        <f t="shared" si="13"/>
        <v>1.02803727750941</v>
      </c>
      <c r="N130" s="5">
        <v>1775820</v>
      </c>
      <c r="O130" s="6">
        <f t="shared" si="14"/>
        <v>2.50978718352418</v>
      </c>
      <c r="P130" s="5">
        <v>425510</v>
      </c>
      <c r="Q130" s="1">
        <f t="shared" si="15"/>
        <v>0.601378261570076</v>
      </c>
      <c r="S130" s="4">
        <f t="shared" ref="S130:S193" si="16">E130/F130</f>
        <v>1.21835465656493</v>
      </c>
      <c r="T130" s="4">
        <f t="shared" ref="T130:T193" si="17">E130/G130</f>
        <v>1.77655028660761</v>
      </c>
      <c r="U130" s="4">
        <f t="shared" ref="U130:U193" si="18">E130/H130</f>
        <v>0.901666225866173</v>
      </c>
      <c r="V130" s="4">
        <f t="shared" ref="V130:V193" si="19">E130/I130</f>
        <v>1.43969594594595</v>
      </c>
      <c r="W130" s="4">
        <f t="shared" ref="W130:W193" si="20">E130/J130</f>
        <v>1.04244129158513</v>
      </c>
    </row>
    <row r="131" spans="1:23">
      <c r="A131" s="5" t="s">
        <v>148</v>
      </c>
      <c r="B131" s="5">
        <v>169422</v>
      </c>
      <c r="C131" s="5">
        <v>169422</v>
      </c>
      <c r="D131" s="5">
        <v>1279274</v>
      </c>
      <c r="E131" s="5">
        <v>33.661</v>
      </c>
      <c r="F131" s="5">
        <v>25.215</v>
      </c>
      <c r="G131" s="5">
        <v>21.25</v>
      </c>
      <c r="H131" s="5">
        <v>40.568</v>
      </c>
      <c r="I131" s="5">
        <v>24.578</v>
      </c>
      <c r="J131" s="5">
        <v>29.891</v>
      </c>
      <c r="K131" s="5">
        <v>1279274</v>
      </c>
      <c r="L131" s="5">
        <v>1438300</v>
      </c>
      <c r="M131" s="6">
        <f t="shared" ref="M131:M194" si="21">L131/K131</f>
        <v>1.12430956933386</v>
      </c>
      <c r="N131" s="5">
        <v>3573304</v>
      </c>
      <c r="O131" s="6">
        <f t="shared" ref="O131:O194" si="22">N131/K131</f>
        <v>2.79322803402555</v>
      </c>
      <c r="P131" s="5">
        <v>864400</v>
      </c>
      <c r="Q131" s="1">
        <f t="shared" ref="Q131:Q194" si="23">P131/K131</f>
        <v>0.675695746181037</v>
      </c>
      <c r="S131" s="4">
        <f t="shared" si="16"/>
        <v>1.3349593495935</v>
      </c>
      <c r="T131" s="4">
        <f t="shared" si="17"/>
        <v>1.58404705882353</v>
      </c>
      <c r="U131" s="4">
        <f t="shared" si="18"/>
        <v>0.829742654308815</v>
      </c>
      <c r="V131" s="4">
        <f t="shared" si="19"/>
        <v>1.36955814142729</v>
      </c>
      <c r="W131" s="4">
        <f t="shared" si="20"/>
        <v>1.12612492054465</v>
      </c>
    </row>
    <row r="132" spans="1:23">
      <c r="A132" s="5" t="s">
        <v>149</v>
      </c>
      <c r="B132" s="5">
        <v>169422</v>
      </c>
      <c r="C132" s="5">
        <v>169422</v>
      </c>
      <c r="D132" s="5">
        <v>1279274</v>
      </c>
      <c r="E132" s="5">
        <v>33.942</v>
      </c>
      <c r="F132" s="5">
        <v>26.547</v>
      </c>
      <c r="G132" s="5">
        <v>20.891</v>
      </c>
      <c r="H132" s="5">
        <v>41.07</v>
      </c>
      <c r="I132" s="5">
        <v>24.849</v>
      </c>
      <c r="J132" s="5">
        <v>29.587</v>
      </c>
      <c r="K132" s="5">
        <v>1279274</v>
      </c>
      <c r="L132" s="5">
        <v>1438300</v>
      </c>
      <c r="M132" s="6">
        <f t="shared" si="21"/>
        <v>1.12430956933386</v>
      </c>
      <c r="N132" s="5">
        <v>3573304</v>
      </c>
      <c r="O132" s="6">
        <f t="shared" si="22"/>
        <v>2.79322803402555</v>
      </c>
      <c r="P132" s="5">
        <v>864400</v>
      </c>
      <c r="Q132" s="1">
        <f t="shared" si="23"/>
        <v>0.675695746181037</v>
      </c>
      <c r="S132" s="4">
        <f t="shared" si="16"/>
        <v>1.27856254944061</v>
      </c>
      <c r="T132" s="4">
        <f t="shared" si="17"/>
        <v>1.62471877842133</v>
      </c>
      <c r="U132" s="4">
        <f t="shared" si="18"/>
        <v>0.826442658875091</v>
      </c>
      <c r="V132" s="4">
        <f t="shared" si="19"/>
        <v>1.36593021851986</v>
      </c>
      <c r="W132" s="4">
        <f t="shared" si="20"/>
        <v>1.14719302396323</v>
      </c>
    </row>
    <row r="133" spans="1:23">
      <c r="A133" s="5" t="s">
        <v>150</v>
      </c>
      <c r="B133" s="5">
        <v>62451</v>
      </c>
      <c r="C133" s="5">
        <v>62451</v>
      </c>
      <c r="D133" s="5">
        <v>4007383</v>
      </c>
      <c r="E133" s="5">
        <v>71.538</v>
      </c>
      <c r="F133" s="5">
        <v>58.376</v>
      </c>
      <c r="G133" s="5">
        <v>53.271</v>
      </c>
      <c r="H133" s="5">
        <v>39.394</v>
      </c>
      <c r="I133" s="5">
        <v>35.915</v>
      </c>
      <c r="J133" s="5">
        <v>40.903</v>
      </c>
      <c r="K133" s="5">
        <v>4007383</v>
      </c>
      <c r="L133" s="5">
        <v>4015336</v>
      </c>
      <c r="M133" s="6">
        <f t="shared" si="21"/>
        <v>1.00198458694864</v>
      </c>
      <c r="N133" s="5">
        <v>5452348</v>
      </c>
      <c r="O133" s="6">
        <f t="shared" si="22"/>
        <v>1.36057571736966</v>
      </c>
      <c r="P133" s="5">
        <v>2170494</v>
      </c>
      <c r="Q133" s="1">
        <f t="shared" si="23"/>
        <v>0.541623797875072</v>
      </c>
      <c r="S133" s="4">
        <f t="shared" si="16"/>
        <v>1.22546937097437</v>
      </c>
      <c r="T133" s="4">
        <f t="shared" si="17"/>
        <v>1.34290702258264</v>
      </c>
      <c r="U133" s="4">
        <f t="shared" si="18"/>
        <v>1.8159618215972</v>
      </c>
      <c r="V133" s="4">
        <f t="shared" si="19"/>
        <v>1.99186969232911</v>
      </c>
      <c r="W133" s="4">
        <f t="shared" si="20"/>
        <v>1.74896706843019</v>
      </c>
    </row>
    <row r="134" spans="1:23">
      <c r="A134" s="5" t="s">
        <v>151</v>
      </c>
      <c r="B134" s="5">
        <v>40216</v>
      </c>
      <c r="C134" s="5">
        <v>40216</v>
      </c>
      <c r="D134" s="5">
        <v>1042160</v>
      </c>
      <c r="E134" s="5">
        <v>16.944</v>
      </c>
      <c r="F134" s="5">
        <v>14.848</v>
      </c>
      <c r="G134" s="5">
        <v>16.824</v>
      </c>
      <c r="H134" s="5">
        <v>11.379</v>
      </c>
      <c r="I134" s="5">
        <v>10.07</v>
      </c>
      <c r="J134" s="5">
        <v>14.842</v>
      </c>
      <c r="K134" s="5">
        <v>1042160</v>
      </c>
      <c r="L134" s="5">
        <v>1080504</v>
      </c>
      <c r="M134" s="6">
        <f t="shared" si="21"/>
        <v>1.03679281492285</v>
      </c>
      <c r="N134" s="5">
        <v>1525096</v>
      </c>
      <c r="O134" s="6">
        <f t="shared" si="22"/>
        <v>1.46339909418899</v>
      </c>
      <c r="P134" s="5">
        <v>561506</v>
      </c>
      <c r="Q134" s="1">
        <f t="shared" si="23"/>
        <v>0.538790588777155</v>
      </c>
      <c r="S134" s="4">
        <f t="shared" si="16"/>
        <v>1.14116379310345</v>
      </c>
      <c r="T134" s="4">
        <f t="shared" si="17"/>
        <v>1.00713266761769</v>
      </c>
      <c r="U134" s="4">
        <f t="shared" si="18"/>
        <v>1.48905879251252</v>
      </c>
      <c r="V134" s="4">
        <f t="shared" si="19"/>
        <v>1.68262164846077</v>
      </c>
      <c r="W134" s="4">
        <f t="shared" si="20"/>
        <v>1.14162511790864</v>
      </c>
    </row>
    <row r="135" spans="1:23">
      <c r="A135" s="5" t="s">
        <v>152</v>
      </c>
      <c r="B135" s="5">
        <v>14454</v>
      </c>
      <c r="C135" s="5">
        <v>14454</v>
      </c>
      <c r="D135" s="5">
        <v>147972</v>
      </c>
      <c r="E135" s="5">
        <v>2.361</v>
      </c>
      <c r="F135" s="5">
        <v>2.433</v>
      </c>
      <c r="G135" s="5">
        <v>1.754</v>
      </c>
      <c r="H135" s="5">
        <v>2.485</v>
      </c>
      <c r="I135" s="5">
        <v>2.062</v>
      </c>
      <c r="J135" s="5">
        <v>2.219</v>
      </c>
      <c r="K135" s="5">
        <v>147972</v>
      </c>
      <c r="L135" s="5">
        <v>156524</v>
      </c>
      <c r="M135" s="6">
        <f t="shared" si="21"/>
        <v>1.05779471791961</v>
      </c>
      <c r="N135" s="5">
        <v>231512</v>
      </c>
      <c r="O135" s="6">
        <f t="shared" si="22"/>
        <v>1.56456626929419</v>
      </c>
      <c r="P135" s="5">
        <v>89132</v>
      </c>
      <c r="Q135" s="1">
        <f t="shared" si="23"/>
        <v>0.602357202714027</v>
      </c>
      <c r="S135" s="4">
        <f t="shared" si="16"/>
        <v>0.970406905055487</v>
      </c>
      <c r="T135" s="4">
        <f t="shared" si="17"/>
        <v>1.3460661345496</v>
      </c>
      <c r="U135" s="4">
        <f t="shared" si="18"/>
        <v>0.950100603621731</v>
      </c>
      <c r="V135" s="4">
        <f t="shared" si="19"/>
        <v>1.14500484966052</v>
      </c>
      <c r="W135" s="4">
        <f t="shared" si="20"/>
        <v>1.06399278954484</v>
      </c>
    </row>
    <row r="136" spans="1:23">
      <c r="A136" s="5" t="s">
        <v>153</v>
      </c>
      <c r="B136" s="5">
        <v>345241</v>
      </c>
      <c r="C136" s="5">
        <v>345241</v>
      </c>
      <c r="D136" s="5">
        <v>2341011</v>
      </c>
      <c r="E136" s="5">
        <v>63.691</v>
      </c>
      <c r="F136" s="5">
        <v>53.888</v>
      </c>
      <c r="G136" s="5">
        <v>45.236</v>
      </c>
      <c r="H136" s="5">
        <v>85.902</v>
      </c>
      <c r="I136" s="5">
        <v>54.679</v>
      </c>
      <c r="J136" s="5">
        <v>57.966</v>
      </c>
      <c r="K136" s="5">
        <v>2341011</v>
      </c>
      <c r="L136" s="5">
        <v>2432236</v>
      </c>
      <c r="M136" s="6">
        <f t="shared" si="21"/>
        <v>1.03896820647148</v>
      </c>
      <c r="N136" s="5">
        <v>6199684</v>
      </c>
      <c r="O136" s="6">
        <f t="shared" si="22"/>
        <v>2.64829340827531</v>
      </c>
      <c r="P136" s="5">
        <v>1465876</v>
      </c>
      <c r="Q136" s="1">
        <f t="shared" si="23"/>
        <v>0.626172196542434</v>
      </c>
      <c r="S136" s="4">
        <f t="shared" si="16"/>
        <v>1.18191434085511</v>
      </c>
      <c r="T136" s="4">
        <f t="shared" si="17"/>
        <v>1.40797152710231</v>
      </c>
      <c r="U136" s="4">
        <f t="shared" si="18"/>
        <v>0.741437917627063</v>
      </c>
      <c r="V136" s="4">
        <f t="shared" si="19"/>
        <v>1.16481647433201</v>
      </c>
      <c r="W136" s="4">
        <f t="shared" si="20"/>
        <v>1.09876479315461</v>
      </c>
    </row>
    <row r="137" spans="1:23">
      <c r="A137" s="5" t="s">
        <v>154</v>
      </c>
      <c r="B137" s="5">
        <v>13681</v>
      </c>
      <c r="C137" s="5">
        <v>13681</v>
      </c>
      <c r="D137" s="5">
        <v>676515</v>
      </c>
      <c r="E137" s="5">
        <v>10.973</v>
      </c>
      <c r="F137" s="5">
        <v>9.096</v>
      </c>
      <c r="G137" s="5">
        <v>7.817</v>
      </c>
      <c r="H137" s="5">
        <v>5.326</v>
      </c>
      <c r="I137" s="5">
        <v>6.426</v>
      </c>
      <c r="J137" s="5">
        <v>7.773</v>
      </c>
      <c r="K137" s="5">
        <v>676515</v>
      </c>
      <c r="L137" s="5">
        <v>679012</v>
      </c>
      <c r="M137" s="6">
        <f t="shared" si="21"/>
        <v>1.00369097507077</v>
      </c>
      <c r="N137" s="5">
        <v>786080</v>
      </c>
      <c r="O137" s="6">
        <f t="shared" si="22"/>
        <v>1.16195501947481</v>
      </c>
      <c r="P137" s="5">
        <v>359726</v>
      </c>
      <c r="Q137" s="1">
        <f t="shared" si="23"/>
        <v>0.531733960074795</v>
      </c>
      <c r="S137" s="4">
        <f t="shared" si="16"/>
        <v>1.20635444151275</v>
      </c>
      <c r="T137" s="4">
        <f t="shared" si="17"/>
        <v>1.40373544838173</v>
      </c>
      <c r="U137" s="4">
        <f t="shared" si="18"/>
        <v>2.06027037176117</v>
      </c>
      <c r="V137" s="4">
        <f t="shared" si="19"/>
        <v>1.70759414877062</v>
      </c>
      <c r="W137" s="4">
        <f t="shared" si="20"/>
        <v>1.41168146146919</v>
      </c>
    </row>
    <row r="138" spans="1:23">
      <c r="A138" s="5" t="s">
        <v>155</v>
      </c>
      <c r="B138" s="5">
        <v>70656</v>
      </c>
      <c r="C138" s="5">
        <v>70656</v>
      </c>
      <c r="D138" s="5">
        <v>1828364</v>
      </c>
      <c r="E138" s="5">
        <v>29.428</v>
      </c>
      <c r="F138" s="5">
        <v>28.293</v>
      </c>
      <c r="G138" s="5">
        <v>22.707</v>
      </c>
      <c r="H138" s="5">
        <v>27.478</v>
      </c>
      <c r="I138" s="5">
        <v>29.476</v>
      </c>
      <c r="J138" s="5">
        <v>21.782</v>
      </c>
      <c r="K138" s="5">
        <v>1828364</v>
      </c>
      <c r="L138" s="5">
        <v>1829888</v>
      </c>
      <c r="M138" s="6">
        <f t="shared" si="21"/>
        <v>1.00083353205379</v>
      </c>
      <c r="N138" s="5">
        <v>3537952</v>
      </c>
      <c r="O138" s="6">
        <f t="shared" si="22"/>
        <v>1.93503700576034</v>
      </c>
      <c r="P138" s="5">
        <v>1119556</v>
      </c>
      <c r="Q138" s="1">
        <f t="shared" si="23"/>
        <v>0.612326648304167</v>
      </c>
      <c r="S138" s="4">
        <f t="shared" si="16"/>
        <v>1.04011592973527</v>
      </c>
      <c r="T138" s="4">
        <f t="shared" si="17"/>
        <v>1.29598802131501</v>
      </c>
      <c r="U138" s="4">
        <f t="shared" si="18"/>
        <v>1.07096586359997</v>
      </c>
      <c r="V138" s="4">
        <f t="shared" si="19"/>
        <v>0.998371556520559</v>
      </c>
      <c r="W138" s="4">
        <f t="shared" si="20"/>
        <v>1.35102378110366</v>
      </c>
    </row>
    <row r="139" spans="1:23">
      <c r="A139" s="5" t="s">
        <v>156</v>
      </c>
      <c r="B139" s="5">
        <v>123440</v>
      </c>
      <c r="C139" s="5">
        <v>123440</v>
      </c>
      <c r="D139" s="5">
        <v>3087898</v>
      </c>
      <c r="E139" s="5">
        <v>50.814</v>
      </c>
      <c r="F139" s="5">
        <v>48.728</v>
      </c>
      <c r="G139" s="5">
        <v>38.78</v>
      </c>
      <c r="H139" s="5">
        <v>38.462</v>
      </c>
      <c r="I139" s="5">
        <v>42.521</v>
      </c>
      <c r="J139" s="5">
        <v>37.139</v>
      </c>
      <c r="K139" s="5">
        <v>3087898</v>
      </c>
      <c r="L139" s="5">
        <v>3093536</v>
      </c>
      <c r="M139" s="6">
        <f t="shared" si="21"/>
        <v>1.00182583751147</v>
      </c>
      <c r="N139" s="5">
        <v>4663960</v>
      </c>
      <c r="O139" s="6">
        <f t="shared" si="22"/>
        <v>1.5103996310759</v>
      </c>
      <c r="P139" s="5">
        <v>1757714</v>
      </c>
      <c r="Q139" s="1">
        <f t="shared" si="23"/>
        <v>0.569226703731794</v>
      </c>
      <c r="S139" s="4">
        <f t="shared" si="16"/>
        <v>1.04280906255131</v>
      </c>
      <c r="T139" s="4">
        <f t="shared" si="17"/>
        <v>1.31031459515214</v>
      </c>
      <c r="U139" s="4">
        <f t="shared" si="18"/>
        <v>1.32114814622225</v>
      </c>
      <c r="V139" s="4">
        <f t="shared" si="19"/>
        <v>1.19503304249665</v>
      </c>
      <c r="W139" s="4">
        <f t="shared" si="20"/>
        <v>1.36821131425186</v>
      </c>
    </row>
    <row r="140" spans="1:23">
      <c r="A140" s="5" t="s">
        <v>157</v>
      </c>
      <c r="B140" s="5">
        <v>221119</v>
      </c>
      <c r="C140" s="5">
        <v>221119</v>
      </c>
      <c r="D140" s="5">
        <v>7666057</v>
      </c>
      <c r="E140" s="5">
        <v>152.347</v>
      </c>
      <c r="F140" s="5">
        <v>143.789</v>
      </c>
      <c r="G140" s="5">
        <v>123.866</v>
      </c>
      <c r="H140" s="5">
        <v>212.205</v>
      </c>
      <c r="I140" s="5">
        <v>131.438</v>
      </c>
      <c r="J140" s="5">
        <v>135.628</v>
      </c>
      <c r="K140" s="5">
        <v>7666057</v>
      </c>
      <c r="L140" s="5">
        <v>7682296</v>
      </c>
      <c r="M140" s="6">
        <f t="shared" si="21"/>
        <v>1.00211829888559</v>
      </c>
      <c r="N140" s="5">
        <v>22852064</v>
      </c>
      <c r="O140" s="6">
        <f t="shared" si="22"/>
        <v>2.98094104961651</v>
      </c>
      <c r="P140" s="5">
        <v>5209834</v>
      </c>
      <c r="Q140" s="1">
        <f t="shared" si="23"/>
        <v>0.679597608001088</v>
      </c>
      <c r="S140" s="4">
        <f t="shared" si="16"/>
        <v>1.05951776561489</v>
      </c>
      <c r="T140" s="4">
        <f t="shared" si="17"/>
        <v>1.22993396089322</v>
      </c>
      <c r="U140" s="4">
        <f t="shared" si="18"/>
        <v>0.717923705850475</v>
      </c>
      <c r="V140" s="4">
        <f t="shared" si="19"/>
        <v>1.15907880521615</v>
      </c>
      <c r="W140" s="4">
        <f t="shared" si="20"/>
        <v>1.12327100598696</v>
      </c>
    </row>
    <row r="141" spans="1:23">
      <c r="A141" s="5" t="s">
        <v>158</v>
      </c>
      <c r="B141" s="5">
        <v>16726</v>
      </c>
      <c r="C141" s="5">
        <v>16726</v>
      </c>
      <c r="D141" s="5">
        <v>95188</v>
      </c>
      <c r="E141" s="5">
        <v>2.395</v>
      </c>
      <c r="F141" s="5">
        <v>2.915</v>
      </c>
      <c r="G141" s="5">
        <v>1.227</v>
      </c>
      <c r="H141" s="5">
        <v>2.851</v>
      </c>
      <c r="I141" s="5">
        <v>3.383</v>
      </c>
      <c r="J141" s="5">
        <v>2.453</v>
      </c>
      <c r="K141" s="5">
        <v>95188</v>
      </c>
      <c r="L141" s="5">
        <v>98364</v>
      </c>
      <c r="M141" s="6">
        <f t="shared" si="21"/>
        <v>1.03336555027945</v>
      </c>
      <c r="N141" s="5">
        <v>268156</v>
      </c>
      <c r="O141" s="6">
        <f t="shared" si="22"/>
        <v>2.81711980501744</v>
      </c>
      <c r="P141" s="5">
        <v>87182</v>
      </c>
      <c r="Q141" s="1">
        <f t="shared" si="23"/>
        <v>0.915892759591545</v>
      </c>
      <c r="S141" s="4">
        <f t="shared" si="16"/>
        <v>0.821612349914237</v>
      </c>
      <c r="T141" s="4">
        <f t="shared" si="17"/>
        <v>1.9519152404238</v>
      </c>
      <c r="U141" s="4">
        <f t="shared" si="18"/>
        <v>0.840056120659418</v>
      </c>
      <c r="V141" s="4">
        <f t="shared" si="19"/>
        <v>0.70795152231747</v>
      </c>
      <c r="W141" s="4">
        <f t="shared" si="20"/>
        <v>0.976355483081941</v>
      </c>
    </row>
    <row r="142" spans="1:23">
      <c r="A142" s="5" t="s">
        <v>159</v>
      </c>
      <c r="B142" s="5">
        <v>31163</v>
      </c>
      <c r="C142" s="5">
        <v>31163</v>
      </c>
      <c r="D142" s="5">
        <v>240058</v>
      </c>
      <c r="E142" s="5">
        <v>5.499</v>
      </c>
      <c r="F142" s="5">
        <v>6.497</v>
      </c>
      <c r="G142" s="5">
        <v>3.288</v>
      </c>
      <c r="H142" s="5">
        <v>6.644</v>
      </c>
      <c r="I142" s="5">
        <v>7.784</v>
      </c>
      <c r="J142" s="5">
        <v>5.921</v>
      </c>
      <c r="K142" s="5">
        <v>240058</v>
      </c>
      <c r="L142" s="5">
        <v>246940</v>
      </c>
      <c r="M142" s="6">
        <f t="shared" si="21"/>
        <v>1.02866807188263</v>
      </c>
      <c r="N142" s="5">
        <v>676636</v>
      </c>
      <c r="O142" s="6">
        <f t="shared" si="22"/>
        <v>2.8186354964217</v>
      </c>
      <c r="P142" s="5">
        <v>209384</v>
      </c>
      <c r="Q142" s="1">
        <f t="shared" si="23"/>
        <v>0.872222546217997</v>
      </c>
      <c r="S142" s="4">
        <f t="shared" si="16"/>
        <v>0.846390641834693</v>
      </c>
      <c r="T142" s="4">
        <f t="shared" si="17"/>
        <v>1.67244525547445</v>
      </c>
      <c r="U142" s="4">
        <f t="shared" si="18"/>
        <v>0.827664057796508</v>
      </c>
      <c r="V142" s="4">
        <f t="shared" si="19"/>
        <v>0.706449126413155</v>
      </c>
      <c r="W142" s="4">
        <f t="shared" si="20"/>
        <v>0.92872825536227</v>
      </c>
    </row>
    <row r="143" spans="1:23">
      <c r="A143" s="5" t="s">
        <v>160</v>
      </c>
      <c r="B143" s="5">
        <v>40421</v>
      </c>
      <c r="C143" s="5">
        <v>40421</v>
      </c>
      <c r="D143" s="5">
        <v>351386</v>
      </c>
      <c r="E143" s="5">
        <v>8.034</v>
      </c>
      <c r="F143" s="5">
        <v>9.338</v>
      </c>
      <c r="G143" s="5">
        <v>5.047</v>
      </c>
      <c r="H143" s="5">
        <v>9.81</v>
      </c>
      <c r="I143" s="5">
        <v>11.504</v>
      </c>
      <c r="J143" s="5">
        <v>8.683</v>
      </c>
      <c r="K143" s="5">
        <v>351386</v>
      </c>
      <c r="L143" s="5">
        <v>362936</v>
      </c>
      <c r="M143" s="6">
        <f t="shared" si="21"/>
        <v>1.03286983545161</v>
      </c>
      <c r="N143" s="5">
        <v>1017656</v>
      </c>
      <c r="O143" s="6">
        <f t="shared" si="22"/>
        <v>2.89611993648011</v>
      </c>
      <c r="P143" s="5">
        <v>305160</v>
      </c>
      <c r="Q143" s="1">
        <f t="shared" si="23"/>
        <v>0.868446665490372</v>
      </c>
      <c r="S143" s="4">
        <f t="shared" si="16"/>
        <v>0.860355536517456</v>
      </c>
      <c r="T143" s="4">
        <f t="shared" si="17"/>
        <v>1.59183673469388</v>
      </c>
      <c r="U143" s="4">
        <f t="shared" si="18"/>
        <v>0.818960244648318</v>
      </c>
      <c r="V143" s="4">
        <f t="shared" si="19"/>
        <v>0.69836578581363</v>
      </c>
      <c r="W143" s="4">
        <f t="shared" si="20"/>
        <v>0.925256247840608</v>
      </c>
    </row>
    <row r="144" spans="1:23">
      <c r="A144" s="5" t="s">
        <v>161</v>
      </c>
      <c r="B144" s="5">
        <v>83334</v>
      </c>
      <c r="C144" s="5">
        <v>83334</v>
      </c>
      <c r="D144" s="5">
        <v>6010480</v>
      </c>
      <c r="E144" s="5">
        <v>117.614</v>
      </c>
      <c r="F144" s="5">
        <v>97.839</v>
      </c>
      <c r="G144" s="5">
        <v>95.024</v>
      </c>
      <c r="H144" s="5">
        <v>69.451</v>
      </c>
      <c r="I144" s="5">
        <v>51.575</v>
      </c>
      <c r="J144" s="5">
        <v>61.674</v>
      </c>
      <c r="K144" s="5">
        <v>6010480</v>
      </c>
      <c r="L144" s="5">
        <v>6031364</v>
      </c>
      <c r="M144" s="6">
        <f t="shared" si="21"/>
        <v>1.00347459770268</v>
      </c>
      <c r="N144" s="5">
        <v>8126888</v>
      </c>
      <c r="O144" s="6">
        <f t="shared" si="22"/>
        <v>1.35211963104444</v>
      </c>
      <c r="P144" s="5">
        <v>3101292</v>
      </c>
      <c r="Q144" s="1">
        <f t="shared" si="23"/>
        <v>0.515980753617016</v>
      </c>
      <c r="S144" s="4">
        <f t="shared" si="16"/>
        <v>1.20211776489948</v>
      </c>
      <c r="T144" s="4">
        <f t="shared" si="17"/>
        <v>1.23772941572655</v>
      </c>
      <c r="U144" s="4">
        <f t="shared" si="18"/>
        <v>1.69348173532419</v>
      </c>
      <c r="V144" s="4">
        <f t="shared" si="19"/>
        <v>2.28044595249636</v>
      </c>
      <c r="W144" s="4">
        <f t="shared" si="20"/>
        <v>1.90702727243247</v>
      </c>
    </row>
    <row r="145" spans="1:23">
      <c r="A145" s="5" t="s">
        <v>162</v>
      </c>
      <c r="B145" s="5">
        <v>80595</v>
      </c>
      <c r="C145" s="5">
        <v>80595</v>
      </c>
      <c r="D145" s="5">
        <v>438795</v>
      </c>
      <c r="E145" s="5">
        <v>8.309</v>
      </c>
      <c r="F145" s="5">
        <v>12.95</v>
      </c>
      <c r="G145" s="5">
        <v>6.051</v>
      </c>
      <c r="H145" s="5">
        <v>10.751</v>
      </c>
      <c r="I145" s="5">
        <v>9.019</v>
      </c>
      <c r="J145" s="5">
        <v>7.842</v>
      </c>
      <c r="K145" s="5">
        <v>438795</v>
      </c>
      <c r="L145" s="5">
        <v>439804</v>
      </c>
      <c r="M145" s="6">
        <f t="shared" si="21"/>
        <v>1.00229947925569</v>
      </c>
      <c r="N145" s="5">
        <v>1123180</v>
      </c>
      <c r="O145" s="6">
        <f t="shared" si="22"/>
        <v>2.55969188345355</v>
      </c>
      <c r="P145" s="5">
        <v>281200</v>
      </c>
      <c r="Q145" s="1">
        <f t="shared" si="23"/>
        <v>0.640845953121617</v>
      </c>
      <c r="S145" s="4">
        <f t="shared" si="16"/>
        <v>0.641621621621622</v>
      </c>
      <c r="T145" s="4">
        <f t="shared" si="17"/>
        <v>1.37316146091555</v>
      </c>
      <c r="U145" s="4">
        <f t="shared" si="18"/>
        <v>0.772858338759185</v>
      </c>
      <c r="V145" s="4">
        <f t="shared" si="19"/>
        <v>0.921277303470451</v>
      </c>
      <c r="W145" s="4">
        <f t="shared" si="20"/>
        <v>1.05955113491456</v>
      </c>
    </row>
    <row r="146" spans="1:23">
      <c r="A146" s="5" t="s">
        <v>163</v>
      </c>
      <c r="B146" s="5">
        <v>180895</v>
      </c>
      <c r="C146" s="5">
        <v>180895</v>
      </c>
      <c r="D146" s="5">
        <v>988195</v>
      </c>
      <c r="E146" s="5">
        <v>19.695</v>
      </c>
      <c r="F146" s="5">
        <v>29.811</v>
      </c>
      <c r="G146" s="5">
        <v>14.615</v>
      </c>
      <c r="H146" s="5">
        <v>25.654</v>
      </c>
      <c r="I146" s="5">
        <v>21.423</v>
      </c>
      <c r="J146" s="5">
        <v>17.344</v>
      </c>
      <c r="K146" s="5">
        <v>988195</v>
      </c>
      <c r="L146" s="5">
        <v>989972</v>
      </c>
      <c r="M146" s="6">
        <f t="shared" si="21"/>
        <v>1.00179822808251</v>
      </c>
      <c r="N146" s="5">
        <v>2524780</v>
      </c>
      <c r="O146" s="6">
        <f t="shared" si="22"/>
        <v>2.55494107944282</v>
      </c>
      <c r="P146" s="5">
        <v>631794</v>
      </c>
      <c r="Q146" s="1">
        <f t="shared" si="23"/>
        <v>0.639341425528362</v>
      </c>
      <c r="S146" s="4">
        <f t="shared" si="16"/>
        <v>0.660662171681594</v>
      </c>
      <c r="T146" s="4">
        <f t="shared" si="17"/>
        <v>1.34758809442354</v>
      </c>
      <c r="U146" s="4">
        <f t="shared" si="18"/>
        <v>0.767716535433071</v>
      </c>
      <c r="V146" s="4">
        <f t="shared" si="19"/>
        <v>0.919339028147318</v>
      </c>
      <c r="W146" s="4">
        <f t="shared" si="20"/>
        <v>1.13555119926199</v>
      </c>
    </row>
    <row r="147" spans="1:23">
      <c r="A147" s="5" t="s">
        <v>164</v>
      </c>
      <c r="B147" s="5">
        <v>121192</v>
      </c>
      <c r="C147" s="5">
        <v>121192</v>
      </c>
      <c r="D147" s="5">
        <v>2624331</v>
      </c>
      <c r="E147" s="5">
        <v>49.6</v>
      </c>
      <c r="F147" s="5">
        <v>48.928</v>
      </c>
      <c r="G147" s="5">
        <v>42.199</v>
      </c>
      <c r="H147" s="5">
        <v>44.483</v>
      </c>
      <c r="I147" s="5">
        <v>42.817</v>
      </c>
      <c r="J147" s="5">
        <v>48.447</v>
      </c>
      <c r="K147" s="5">
        <v>2624331</v>
      </c>
      <c r="L147" s="5">
        <v>2629556</v>
      </c>
      <c r="M147" s="6">
        <f t="shared" si="21"/>
        <v>1.00199098360687</v>
      </c>
      <c r="N147" s="5">
        <v>5018924</v>
      </c>
      <c r="O147" s="6">
        <f t="shared" si="22"/>
        <v>1.91245845131578</v>
      </c>
      <c r="P147" s="5">
        <v>1491322</v>
      </c>
      <c r="Q147" s="1">
        <f t="shared" si="23"/>
        <v>0.568267493696489</v>
      </c>
      <c r="S147" s="4">
        <f t="shared" si="16"/>
        <v>1.01373446697188</v>
      </c>
      <c r="T147" s="4">
        <f t="shared" si="17"/>
        <v>1.17538330292187</v>
      </c>
      <c r="U147" s="4">
        <f t="shared" si="18"/>
        <v>1.11503270912483</v>
      </c>
      <c r="V147" s="4">
        <f t="shared" si="19"/>
        <v>1.15841838522082</v>
      </c>
      <c r="W147" s="4">
        <f t="shared" si="20"/>
        <v>1.02379920325304</v>
      </c>
    </row>
    <row r="148" spans="1:23">
      <c r="A148" s="5" t="s">
        <v>165</v>
      </c>
      <c r="B148" s="5">
        <v>55476</v>
      </c>
      <c r="C148" s="5">
        <v>55476</v>
      </c>
      <c r="D148" s="5">
        <v>759952</v>
      </c>
      <c r="E148" s="5">
        <v>13.896</v>
      </c>
      <c r="F148" s="5">
        <v>14.514</v>
      </c>
      <c r="G148" s="5">
        <v>10.009</v>
      </c>
      <c r="H148" s="5">
        <v>16.346</v>
      </c>
      <c r="I148" s="5">
        <v>18.081</v>
      </c>
      <c r="J148" s="5">
        <v>13.507</v>
      </c>
      <c r="K148" s="5">
        <v>759952</v>
      </c>
      <c r="L148" s="5">
        <v>763212</v>
      </c>
      <c r="M148" s="6">
        <f t="shared" si="21"/>
        <v>1.00428974461545</v>
      </c>
      <c r="N148" s="5">
        <v>1880696</v>
      </c>
      <c r="O148" s="6">
        <f t="shared" si="22"/>
        <v>2.47475630039792</v>
      </c>
      <c r="P148" s="5">
        <v>568778</v>
      </c>
      <c r="Q148" s="1">
        <f t="shared" si="23"/>
        <v>0.748439375118429</v>
      </c>
      <c r="S148" s="4">
        <f t="shared" si="16"/>
        <v>0.957420421661844</v>
      </c>
      <c r="T148" s="4">
        <f t="shared" si="17"/>
        <v>1.38835048456389</v>
      </c>
      <c r="U148" s="4">
        <f t="shared" si="18"/>
        <v>0.850116236388107</v>
      </c>
      <c r="V148" s="4">
        <f t="shared" si="19"/>
        <v>0.76854156296665</v>
      </c>
      <c r="W148" s="4">
        <f t="shared" si="20"/>
        <v>1.0287998815429</v>
      </c>
    </row>
    <row r="149" spans="1:23">
      <c r="A149" s="5" t="s">
        <v>166</v>
      </c>
      <c r="B149" s="5">
        <v>52804</v>
      </c>
      <c r="C149" s="5">
        <v>52804</v>
      </c>
      <c r="D149" s="5">
        <v>10614210</v>
      </c>
      <c r="E149" s="5">
        <v>210.497</v>
      </c>
      <c r="F149" s="5">
        <v>168.662</v>
      </c>
      <c r="G149" s="5">
        <v>165.994</v>
      </c>
      <c r="H149" s="5">
        <v>108.834</v>
      </c>
      <c r="I149" s="5">
        <v>95.124</v>
      </c>
      <c r="J149" s="5">
        <v>107.818</v>
      </c>
      <c r="K149" s="5">
        <v>10614210</v>
      </c>
      <c r="L149" s="5">
        <v>10645864</v>
      </c>
      <c r="M149" s="6">
        <f t="shared" si="21"/>
        <v>1.0029822285408</v>
      </c>
      <c r="N149" s="5">
        <v>12753872</v>
      </c>
      <c r="O149" s="6">
        <f t="shared" si="22"/>
        <v>1.20158466810059</v>
      </c>
      <c r="P149" s="5">
        <v>5423370</v>
      </c>
      <c r="Q149" s="1">
        <f t="shared" si="23"/>
        <v>0.510953712052051</v>
      </c>
      <c r="S149" s="4">
        <f t="shared" si="16"/>
        <v>1.24804045961746</v>
      </c>
      <c r="T149" s="4">
        <f t="shared" si="17"/>
        <v>1.2681000518091</v>
      </c>
      <c r="U149" s="4">
        <f t="shared" si="18"/>
        <v>1.93411066394693</v>
      </c>
      <c r="V149" s="4">
        <f t="shared" si="19"/>
        <v>2.21286951768218</v>
      </c>
      <c r="W149" s="4">
        <f t="shared" si="20"/>
        <v>1.95233634458068</v>
      </c>
    </row>
    <row r="150" spans="1:23">
      <c r="A150" s="5" t="s">
        <v>167</v>
      </c>
      <c r="B150" s="5">
        <v>63838</v>
      </c>
      <c r="C150" s="5">
        <v>63838</v>
      </c>
      <c r="D150" s="5">
        <v>14148858</v>
      </c>
      <c r="E150" s="5">
        <v>285.765</v>
      </c>
      <c r="F150" s="5">
        <v>228.432</v>
      </c>
      <c r="G150" s="5">
        <v>218.702</v>
      </c>
      <c r="H150" s="5">
        <v>136.734</v>
      </c>
      <c r="I150" s="5">
        <v>130.279</v>
      </c>
      <c r="J150" s="5">
        <v>144.136</v>
      </c>
      <c r="K150" s="5">
        <v>14148858</v>
      </c>
      <c r="L150" s="5">
        <v>14189024</v>
      </c>
      <c r="M150" s="6">
        <f t="shared" si="21"/>
        <v>1.00283881568392</v>
      </c>
      <c r="N150" s="5">
        <v>16860020</v>
      </c>
      <c r="O150" s="6">
        <f t="shared" si="22"/>
        <v>1.19161701955027</v>
      </c>
      <c r="P150" s="5">
        <v>7216254</v>
      </c>
      <c r="Q150" s="1">
        <f t="shared" si="23"/>
        <v>0.510023777183996</v>
      </c>
      <c r="S150" s="4">
        <f t="shared" si="16"/>
        <v>1.25098497583526</v>
      </c>
      <c r="T150" s="4">
        <f t="shared" si="17"/>
        <v>1.3066410000823</v>
      </c>
      <c r="U150" s="4">
        <f t="shared" si="18"/>
        <v>2.08993373996226</v>
      </c>
      <c r="V150" s="4">
        <f t="shared" si="19"/>
        <v>2.19348475195542</v>
      </c>
      <c r="W150" s="4">
        <f t="shared" si="20"/>
        <v>1.98260670477882</v>
      </c>
    </row>
    <row r="151" spans="1:23">
      <c r="A151" s="5" t="s">
        <v>168</v>
      </c>
      <c r="B151" s="5">
        <v>4875</v>
      </c>
      <c r="C151" s="5">
        <v>4875</v>
      </c>
      <c r="D151" s="5">
        <v>315891</v>
      </c>
      <c r="E151" s="5">
        <v>4.914</v>
      </c>
      <c r="F151" s="5">
        <v>3.756</v>
      </c>
      <c r="G151" s="5">
        <v>3.306</v>
      </c>
      <c r="H151" s="5">
        <v>2.605</v>
      </c>
      <c r="I151" s="5">
        <v>2.596</v>
      </c>
      <c r="J151" s="5">
        <v>3.229</v>
      </c>
      <c r="K151" s="5">
        <v>315891</v>
      </c>
      <c r="L151" s="5">
        <v>316436</v>
      </c>
      <c r="M151" s="6">
        <f t="shared" si="21"/>
        <v>1.00172527865625</v>
      </c>
      <c r="N151" s="5">
        <v>421216</v>
      </c>
      <c r="O151" s="6">
        <f t="shared" si="22"/>
        <v>1.33342197150283</v>
      </c>
      <c r="P151" s="5">
        <v>162584</v>
      </c>
      <c r="Q151" s="1">
        <f t="shared" si="23"/>
        <v>0.514683862471549</v>
      </c>
      <c r="S151" s="4">
        <f t="shared" si="16"/>
        <v>1.30830670926518</v>
      </c>
      <c r="T151" s="4">
        <f t="shared" si="17"/>
        <v>1.48638838475499</v>
      </c>
      <c r="U151" s="4">
        <f t="shared" si="18"/>
        <v>1.88637236084453</v>
      </c>
      <c r="V151" s="4">
        <f t="shared" si="19"/>
        <v>1.89291217257319</v>
      </c>
      <c r="W151" s="4">
        <f t="shared" si="20"/>
        <v>1.5218333849489</v>
      </c>
    </row>
    <row r="152" spans="1:23">
      <c r="A152" s="5" t="s">
        <v>169</v>
      </c>
      <c r="B152" s="5">
        <v>13965</v>
      </c>
      <c r="C152" s="5">
        <v>13965</v>
      </c>
      <c r="D152" s="5">
        <v>968583</v>
      </c>
      <c r="E152" s="5">
        <v>15.613</v>
      </c>
      <c r="F152" s="5">
        <v>11.948</v>
      </c>
      <c r="G152" s="5">
        <v>10.852</v>
      </c>
      <c r="H152" s="5">
        <v>8.443</v>
      </c>
      <c r="I152" s="5">
        <v>8.119</v>
      </c>
      <c r="J152" s="5">
        <v>9.881</v>
      </c>
      <c r="K152" s="5">
        <v>968583</v>
      </c>
      <c r="L152" s="5">
        <v>969944</v>
      </c>
      <c r="M152" s="6">
        <f t="shared" si="21"/>
        <v>1.00140514545475</v>
      </c>
      <c r="N152" s="5">
        <v>1291492</v>
      </c>
      <c r="O152" s="6">
        <f t="shared" si="22"/>
        <v>1.33338289026341</v>
      </c>
      <c r="P152" s="5">
        <v>497068</v>
      </c>
      <c r="Q152" s="1">
        <f t="shared" si="23"/>
        <v>0.513190919105539</v>
      </c>
      <c r="S152" s="4">
        <f t="shared" si="16"/>
        <v>1.30674589889521</v>
      </c>
      <c r="T152" s="4">
        <f t="shared" si="17"/>
        <v>1.43872097309252</v>
      </c>
      <c r="U152" s="4">
        <f t="shared" si="18"/>
        <v>1.84922420940424</v>
      </c>
      <c r="V152" s="4">
        <f t="shared" si="19"/>
        <v>1.92302007636408</v>
      </c>
      <c r="W152" s="4">
        <f t="shared" si="20"/>
        <v>1.58010322841818</v>
      </c>
    </row>
    <row r="153" spans="1:23">
      <c r="A153" s="5" t="s">
        <v>170</v>
      </c>
      <c r="B153" s="5">
        <v>24696</v>
      </c>
      <c r="C153" s="5">
        <v>24696</v>
      </c>
      <c r="D153" s="5">
        <v>1751178</v>
      </c>
      <c r="E153" s="5">
        <v>28.692</v>
      </c>
      <c r="F153" s="5">
        <v>21.878</v>
      </c>
      <c r="G153" s="5">
        <v>20.762</v>
      </c>
      <c r="H153" s="5">
        <v>15.73</v>
      </c>
      <c r="I153" s="5">
        <v>14.774</v>
      </c>
      <c r="J153" s="5">
        <v>19.13</v>
      </c>
      <c r="K153" s="5">
        <v>1751178</v>
      </c>
      <c r="L153" s="5">
        <v>1753812</v>
      </c>
      <c r="M153" s="6">
        <f t="shared" si="21"/>
        <v>1.00150413036253</v>
      </c>
      <c r="N153" s="5">
        <v>2334948</v>
      </c>
      <c r="O153" s="6">
        <f t="shared" si="22"/>
        <v>1.33335845927713</v>
      </c>
      <c r="P153" s="5">
        <v>898008</v>
      </c>
      <c r="Q153" s="1">
        <f t="shared" si="23"/>
        <v>0.512802239406845</v>
      </c>
      <c r="S153" s="4">
        <f t="shared" si="16"/>
        <v>1.31145442910687</v>
      </c>
      <c r="T153" s="4">
        <f t="shared" si="17"/>
        <v>1.38194778923032</v>
      </c>
      <c r="U153" s="4">
        <f t="shared" si="18"/>
        <v>1.82403051493961</v>
      </c>
      <c r="V153" s="4">
        <f t="shared" si="19"/>
        <v>1.94206037633681</v>
      </c>
      <c r="W153" s="4">
        <f t="shared" si="20"/>
        <v>1.49984317825405</v>
      </c>
    </row>
    <row r="154" spans="1:23">
      <c r="A154" s="5" t="s">
        <v>171</v>
      </c>
      <c r="B154" s="5">
        <v>4875</v>
      </c>
      <c r="C154" s="5">
        <v>4875</v>
      </c>
      <c r="D154" s="5">
        <v>105339</v>
      </c>
      <c r="E154" s="5">
        <v>1.539</v>
      </c>
      <c r="F154" s="5">
        <v>1.437</v>
      </c>
      <c r="G154" s="5">
        <v>1.116</v>
      </c>
      <c r="H154" s="5">
        <v>1.767</v>
      </c>
      <c r="I154" s="5">
        <v>1.013</v>
      </c>
      <c r="J154" s="5">
        <v>1.282</v>
      </c>
      <c r="K154" s="5">
        <v>105339</v>
      </c>
      <c r="L154" s="5">
        <v>105520</v>
      </c>
      <c r="M154" s="6">
        <f t="shared" si="21"/>
        <v>1.00171826199223</v>
      </c>
      <c r="N154" s="5">
        <v>273312</v>
      </c>
      <c r="O154" s="6">
        <f t="shared" si="22"/>
        <v>2.59459459459459</v>
      </c>
      <c r="P154" s="5">
        <v>56126</v>
      </c>
      <c r="Q154" s="1">
        <f t="shared" si="23"/>
        <v>0.532813108155574</v>
      </c>
      <c r="S154" s="4">
        <f t="shared" si="16"/>
        <v>1.07098121085595</v>
      </c>
      <c r="T154" s="4">
        <f t="shared" si="17"/>
        <v>1.37903225806452</v>
      </c>
      <c r="U154" s="4">
        <f t="shared" si="18"/>
        <v>0.870967741935484</v>
      </c>
      <c r="V154" s="4">
        <f t="shared" si="19"/>
        <v>1.51924975320829</v>
      </c>
      <c r="W154" s="4">
        <f t="shared" si="20"/>
        <v>1.20046801872075</v>
      </c>
    </row>
    <row r="155" spans="1:23">
      <c r="A155" s="5" t="s">
        <v>172</v>
      </c>
      <c r="B155" s="5">
        <v>13965</v>
      </c>
      <c r="C155" s="5">
        <v>13965</v>
      </c>
      <c r="D155" s="5">
        <v>322905</v>
      </c>
      <c r="E155" s="5">
        <v>5.016</v>
      </c>
      <c r="F155" s="5">
        <v>4.847</v>
      </c>
      <c r="G155" s="5">
        <v>3.617</v>
      </c>
      <c r="H155" s="5">
        <v>5.673</v>
      </c>
      <c r="I155" s="5">
        <v>3.118</v>
      </c>
      <c r="J155" s="5">
        <v>3.89</v>
      </c>
      <c r="K155" s="5">
        <v>322905</v>
      </c>
      <c r="L155" s="5">
        <v>323356</v>
      </c>
      <c r="M155" s="6">
        <f t="shared" si="21"/>
        <v>1.00139669562255</v>
      </c>
      <c r="N155" s="5">
        <v>845424</v>
      </c>
      <c r="O155" s="6">
        <f t="shared" si="22"/>
        <v>2.61818181818182</v>
      </c>
      <c r="P155" s="5">
        <v>170492</v>
      </c>
      <c r="Q155" s="1">
        <f t="shared" si="23"/>
        <v>0.527994301729611</v>
      </c>
      <c r="S155" s="4">
        <f t="shared" si="16"/>
        <v>1.0348669279967</v>
      </c>
      <c r="T155" s="4">
        <f t="shared" si="17"/>
        <v>1.38678462814487</v>
      </c>
      <c r="U155" s="4">
        <f t="shared" si="18"/>
        <v>0.884188260179799</v>
      </c>
      <c r="V155" s="4">
        <f t="shared" si="19"/>
        <v>1.60872354073124</v>
      </c>
      <c r="W155" s="4">
        <f t="shared" si="20"/>
        <v>1.28946015424165</v>
      </c>
    </row>
    <row r="156" spans="1:23">
      <c r="A156" s="5" t="s">
        <v>173</v>
      </c>
      <c r="B156" s="5">
        <v>24696</v>
      </c>
      <c r="C156" s="5">
        <v>24696</v>
      </c>
      <c r="D156" s="5">
        <v>583770</v>
      </c>
      <c r="E156" s="5">
        <v>9.36</v>
      </c>
      <c r="F156" s="5">
        <v>9.137</v>
      </c>
      <c r="G156" s="5">
        <v>6.826</v>
      </c>
      <c r="H156" s="5">
        <v>10.741</v>
      </c>
      <c r="I156" s="5">
        <v>5.669</v>
      </c>
      <c r="J156" s="5">
        <v>7.18</v>
      </c>
      <c r="K156" s="5">
        <v>583770</v>
      </c>
      <c r="L156" s="5">
        <v>584644</v>
      </c>
      <c r="M156" s="6">
        <f t="shared" si="21"/>
        <v>1.00149716497936</v>
      </c>
      <c r="N156" s="5">
        <v>1531200</v>
      </c>
      <c r="O156" s="6">
        <f t="shared" si="22"/>
        <v>2.62295081967213</v>
      </c>
      <c r="P156" s="5">
        <v>307568</v>
      </c>
      <c r="Q156" s="1">
        <f t="shared" si="23"/>
        <v>0.526865032461415</v>
      </c>
      <c r="S156" s="4">
        <f t="shared" si="16"/>
        <v>1.02440626026048</v>
      </c>
      <c r="T156" s="4">
        <f t="shared" si="17"/>
        <v>1.37122765895107</v>
      </c>
      <c r="U156" s="4">
        <f t="shared" si="18"/>
        <v>0.871427241411414</v>
      </c>
      <c r="V156" s="4">
        <f t="shared" si="19"/>
        <v>1.65108484741577</v>
      </c>
      <c r="W156" s="4">
        <f t="shared" si="20"/>
        <v>1.30362116991643</v>
      </c>
    </row>
    <row r="157" spans="1:23">
      <c r="A157" s="5" t="s">
        <v>174</v>
      </c>
      <c r="B157" s="5">
        <v>52329</v>
      </c>
      <c r="C157" s="5">
        <v>52329</v>
      </c>
      <c r="D157" s="5">
        <v>2698463</v>
      </c>
      <c r="E157" s="5">
        <v>45.047</v>
      </c>
      <c r="F157" s="5">
        <v>36.642</v>
      </c>
      <c r="G157" s="5">
        <v>33.068</v>
      </c>
      <c r="H157" s="5">
        <v>24.146</v>
      </c>
      <c r="I157" s="5">
        <v>28.818</v>
      </c>
      <c r="J157" s="5">
        <v>30.982</v>
      </c>
      <c r="K157" s="5">
        <v>2698463</v>
      </c>
      <c r="L157" s="5">
        <v>2708868</v>
      </c>
      <c r="M157" s="6">
        <f t="shared" si="21"/>
        <v>1.00385589870975</v>
      </c>
      <c r="N157" s="5">
        <v>3207688</v>
      </c>
      <c r="O157" s="6">
        <f t="shared" si="22"/>
        <v>1.18870927635472</v>
      </c>
      <c r="P157" s="5">
        <v>1417376</v>
      </c>
      <c r="Q157" s="1">
        <f t="shared" si="23"/>
        <v>0.525253079252893</v>
      </c>
      <c r="S157" s="4">
        <f t="shared" si="16"/>
        <v>1.22938158397467</v>
      </c>
      <c r="T157" s="4">
        <f t="shared" si="17"/>
        <v>1.36225353816378</v>
      </c>
      <c r="U157" s="4">
        <f t="shared" si="18"/>
        <v>1.8656092106353</v>
      </c>
      <c r="V157" s="4">
        <f t="shared" si="19"/>
        <v>1.56315497258658</v>
      </c>
      <c r="W157" s="4">
        <f t="shared" si="20"/>
        <v>1.45397327480473</v>
      </c>
    </row>
    <row r="158" spans="1:23">
      <c r="A158" s="5" t="s">
        <v>175</v>
      </c>
      <c r="B158" s="5">
        <v>2164760</v>
      </c>
      <c r="C158" s="5">
        <v>2164760</v>
      </c>
      <c r="D158" s="5">
        <v>127206144</v>
      </c>
      <c r="E158" s="5">
        <v>2575.03</v>
      </c>
      <c r="F158" s="5">
        <v>2019.54</v>
      </c>
      <c r="G158" s="5">
        <v>2110.39</v>
      </c>
      <c r="H158" s="5">
        <v>1260.28</v>
      </c>
      <c r="I158" s="5">
        <v>1297.36</v>
      </c>
      <c r="J158" s="5">
        <v>1366.01</v>
      </c>
      <c r="K158" s="5">
        <v>127206144</v>
      </c>
      <c r="L158" s="5">
        <v>127206144</v>
      </c>
      <c r="M158" s="6">
        <f t="shared" si="21"/>
        <v>1</v>
      </c>
      <c r="N158" s="5">
        <v>127206144</v>
      </c>
      <c r="O158" s="6">
        <f t="shared" si="22"/>
        <v>1</v>
      </c>
      <c r="P158" s="5">
        <v>65767832</v>
      </c>
      <c r="Q158" s="1">
        <f t="shared" si="23"/>
        <v>0.51701773147058</v>
      </c>
      <c r="S158" s="4">
        <f t="shared" si="16"/>
        <v>1.27505768640383</v>
      </c>
      <c r="T158" s="4">
        <f t="shared" si="17"/>
        <v>1.22016783627671</v>
      </c>
      <c r="U158" s="4">
        <f t="shared" si="18"/>
        <v>2.04322055416257</v>
      </c>
      <c r="V158" s="4">
        <f t="shared" si="19"/>
        <v>1.98482302522045</v>
      </c>
      <c r="W158" s="4">
        <f t="shared" si="20"/>
        <v>1.88507404777417</v>
      </c>
    </row>
    <row r="159" spans="1:23">
      <c r="A159" s="5" t="s">
        <v>176</v>
      </c>
      <c r="B159" s="5">
        <v>2164760</v>
      </c>
      <c r="C159" s="5">
        <v>2164760</v>
      </c>
      <c r="D159" s="5">
        <v>127206144</v>
      </c>
      <c r="E159" s="5">
        <v>2566.14</v>
      </c>
      <c r="F159" s="5">
        <v>2004.39</v>
      </c>
      <c r="G159" s="5">
        <v>2102.76</v>
      </c>
      <c r="H159" s="5">
        <v>1237.64</v>
      </c>
      <c r="I159" s="5">
        <v>1296.44</v>
      </c>
      <c r="J159" s="5">
        <v>1367.33</v>
      </c>
      <c r="K159" s="5">
        <v>127206144</v>
      </c>
      <c r="L159" s="5">
        <v>127206144</v>
      </c>
      <c r="M159" s="6">
        <f t="shared" si="21"/>
        <v>1</v>
      </c>
      <c r="N159" s="5">
        <v>127206144</v>
      </c>
      <c r="O159" s="6">
        <f t="shared" si="22"/>
        <v>1</v>
      </c>
      <c r="P159" s="5">
        <v>65767832</v>
      </c>
      <c r="Q159" s="1">
        <f t="shared" si="23"/>
        <v>0.51701773147058</v>
      </c>
      <c r="S159" s="4">
        <f t="shared" si="16"/>
        <v>1.28025982967387</v>
      </c>
      <c r="T159" s="4">
        <f t="shared" si="17"/>
        <v>1.22036751697769</v>
      </c>
      <c r="U159" s="4">
        <f t="shared" si="18"/>
        <v>2.07341391680941</v>
      </c>
      <c r="V159" s="4">
        <f t="shared" si="19"/>
        <v>1.97937428650767</v>
      </c>
      <c r="W159" s="4">
        <f t="shared" si="20"/>
        <v>1.8767525030534</v>
      </c>
    </row>
    <row r="160" spans="1:23">
      <c r="A160" s="5" t="s">
        <v>177</v>
      </c>
      <c r="B160" s="5">
        <v>11083</v>
      </c>
      <c r="C160" s="5">
        <v>11083</v>
      </c>
      <c r="D160" s="5">
        <v>113343</v>
      </c>
      <c r="E160" s="5">
        <v>1.813</v>
      </c>
      <c r="F160" s="5">
        <v>1.933</v>
      </c>
      <c r="G160" s="5">
        <v>1.257</v>
      </c>
      <c r="H160" s="5">
        <v>1.629</v>
      </c>
      <c r="I160" s="5">
        <v>1.859</v>
      </c>
      <c r="J160" s="5">
        <v>1.579</v>
      </c>
      <c r="K160" s="5">
        <v>113343</v>
      </c>
      <c r="L160" s="5">
        <v>113468</v>
      </c>
      <c r="M160" s="6">
        <f t="shared" si="21"/>
        <v>1.0011028471101</v>
      </c>
      <c r="N160" s="5">
        <v>215404</v>
      </c>
      <c r="O160" s="6">
        <f t="shared" si="22"/>
        <v>1.90046143123087</v>
      </c>
      <c r="P160" s="5">
        <v>80706</v>
      </c>
      <c r="Q160" s="1">
        <f t="shared" si="23"/>
        <v>0.712051030941478</v>
      </c>
      <c r="S160" s="4">
        <f t="shared" si="16"/>
        <v>0.937920331091567</v>
      </c>
      <c r="T160" s="4">
        <f t="shared" si="17"/>
        <v>1.44232299124901</v>
      </c>
      <c r="U160" s="4">
        <f t="shared" si="18"/>
        <v>1.11295273173726</v>
      </c>
      <c r="V160" s="4">
        <f t="shared" si="19"/>
        <v>0.975255513717052</v>
      </c>
      <c r="W160" s="4">
        <f t="shared" si="20"/>
        <v>1.14819506016466</v>
      </c>
    </row>
    <row r="161" spans="1:23">
      <c r="A161" s="5" t="s">
        <v>178</v>
      </c>
      <c r="B161" s="5">
        <v>226451</v>
      </c>
      <c r="C161" s="5">
        <v>226451</v>
      </c>
      <c r="D161" s="5">
        <v>2472071</v>
      </c>
      <c r="E161" s="5">
        <v>45.318</v>
      </c>
      <c r="F161" s="5">
        <v>48.221</v>
      </c>
      <c r="G161" s="5">
        <v>47.523</v>
      </c>
      <c r="H161" s="5">
        <v>43.584</v>
      </c>
      <c r="I161" s="5">
        <v>47.915</v>
      </c>
      <c r="J161" s="5">
        <v>39.216</v>
      </c>
      <c r="K161" s="5">
        <v>2472071</v>
      </c>
      <c r="L161" s="5">
        <v>2473924</v>
      </c>
      <c r="M161" s="6">
        <f t="shared" si="21"/>
        <v>1.00074957394023</v>
      </c>
      <c r="N161" s="5">
        <v>4816940</v>
      </c>
      <c r="O161" s="6">
        <f t="shared" si="22"/>
        <v>1.94854435815153</v>
      </c>
      <c r="P161" s="5">
        <v>1796464</v>
      </c>
      <c r="Q161" s="1">
        <f t="shared" si="23"/>
        <v>0.726704046930691</v>
      </c>
      <c r="S161" s="4">
        <f t="shared" si="16"/>
        <v>0.939798013313701</v>
      </c>
      <c r="T161" s="4">
        <f t="shared" si="17"/>
        <v>0.953601414052143</v>
      </c>
      <c r="U161" s="4">
        <f t="shared" si="18"/>
        <v>1.03978524229075</v>
      </c>
      <c r="V161" s="4">
        <f t="shared" si="19"/>
        <v>0.945799853907962</v>
      </c>
      <c r="W161" s="4">
        <f t="shared" si="20"/>
        <v>1.15559975520196</v>
      </c>
    </row>
    <row r="162" spans="1:23">
      <c r="A162" s="5" t="s">
        <v>179</v>
      </c>
      <c r="B162" s="5">
        <v>806529</v>
      </c>
      <c r="C162" s="5">
        <v>806529</v>
      </c>
      <c r="D162" s="5">
        <v>8921789</v>
      </c>
      <c r="E162" s="5">
        <v>196.663</v>
      </c>
      <c r="F162" s="5">
        <v>203.899</v>
      </c>
      <c r="G162" s="5">
        <v>167.935</v>
      </c>
      <c r="H162" s="5">
        <v>199.784</v>
      </c>
      <c r="I162" s="5">
        <v>215.892</v>
      </c>
      <c r="J162" s="5">
        <v>143.286</v>
      </c>
      <c r="K162" s="5">
        <v>8921789</v>
      </c>
      <c r="L162" s="5">
        <v>8927364</v>
      </c>
      <c r="M162" s="6">
        <f t="shared" si="21"/>
        <v>1.0006248746748</v>
      </c>
      <c r="N162" s="5">
        <v>17479188</v>
      </c>
      <c r="O162" s="6">
        <f t="shared" si="22"/>
        <v>1.95915729457399</v>
      </c>
      <c r="P162" s="5">
        <v>6513436</v>
      </c>
      <c r="Q162" s="1">
        <f t="shared" si="23"/>
        <v>0.730059408488589</v>
      </c>
      <c r="S162" s="4">
        <f t="shared" si="16"/>
        <v>0.96451184164709</v>
      </c>
      <c r="T162" s="4">
        <f t="shared" si="17"/>
        <v>1.17106618632209</v>
      </c>
      <c r="U162" s="4">
        <f t="shared" si="18"/>
        <v>0.984378128378649</v>
      </c>
      <c r="V162" s="4">
        <f t="shared" si="19"/>
        <v>0.910932318010857</v>
      </c>
      <c r="W162" s="4">
        <f t="shared" si="20"/>
        <v>1.37252069287997</v>
      </c>
    </row>
    <row r="163" spans="1:23">
      <c r="A163" s="5" t="s">
        <v>180</v>
      </c>
      <c r="B163" s="5">
        <v>1219574</v>
      </c>
      <c r="C163" s="5">
        <v>1219574</v>
      </c>
      <c r="D163" s="5">
        <v>13544618</v>
      </c>
      <c r="E163" s="5">
        <v>305.212</v>
      </c>
      <c r="F163" s="5">
        <v>312.23</v>
      </c>
      <c r="G163" s="5">
        <v>261.551</v>
      </c>
      <c r="H163" s="5">
        <v>318.001</v>
      </c>
      <c r="I163" s="5">
        <v>325.826</v>
      </c>
      <c r="J163" s="5">
        <v>212.265</v>
      </c>
      <c r="K163" s="5">
        <v>13544618</v>
      </c>
      <c r="L163" s="5">
        <v>13552968</v>
      </c>
      <c r="M163" s="6">
        <f t="shared" si="21"/>
        <v>1.0006164810259</v>
      </c>
      <c r="N163" s="5">
        <v>26579832</v>
      </c>
      <c r="O163" s="6">
        <f t="shared" si="22"/>
        <v>1.96239067059699</v>
      </c>
      <c r="P163" s="5">
        <v>9904388</v>
      </c>
      <c r="Q163" s="1">
        <f t="shared" si="23"/>
        <v>0.731241589832951</v>
      </c>
      <c r="S163" s="4">
        <f t="shared" si="16"/>
        <v>0.977522979854594</v>
      </c>
      <c r="T163" s="4">
        <f t="shared" si="17"/>
        <v>1.16693111477303</v>
      </c>
      <c r="U163" s="4">
        <f t="shared" si="18"/>
        <v>0.959783145336021</v>
      </c>
      <c r="V163" s="4">
        <f t="shared" si="19"/>
        <v>0.936733102944516</v>
      </c>
      <c r="W163" s="4">
        <f t="shared" si="20"/>
        <v>1.43788189291687</v>
      </c>
    </row>
    <row r="164" spans="1:23">
      <c r="A164" s="5" t="s">
        <v>181</v>
      </c>
      <c r="B164" s="5">
        <v>2380515</v>
      </c>
      <c r="C164" s="5">
        <v>2380515</v>
      </c>
      <c r="D164" s="5">
        <v>26515867</v>
      </c>
      <c r="E164" s="5">
        <v>593.877</v>
      </c>
      <c r="F164" s="5">
        <v>616.706</v>
      </c>
      <c r="G164" s="5">
        <v>512.583</v>
      </c>
      <c r="H164" s="5">
        <v>633.546</v>
      </c>
      <c r="I164" s="5">
        <v>632.882</v>
      </c>
      <c r="J164" s="5">
        <v>440.737</v>
      </c>
      <c r="K164" s="5">
        <v>26515867</v>
      </c>
      <c r="L164" s="5">
        <v>26532572</v>
      </c>
      <c r="M164" s="6">
        <f t="shared" si="21"/>
        <v>1.00063000014293</v>
      </c>
      <c r="N164" s="5">
        <v>52089908</v>
      </c>
      <c r="O164" s="6">
        <f t="shared" si="22"/>
        <v>1.96448066359663</v>
      </c>
      <c r="P164" s="5">
        <v>19403364</v>
      </c>
      <c r="Q164" s="1">
        <f t="shared" si="23"/>
        <v>0.731764267787284</v>
      </c>
      <c r="S164" s="4">
        <f t="shared" si="16"/>
        <v>0.962982361125074</v>
      </c>
      <c r="T164" s="4">
        <f t="shared" si="17"/>
        <v>1.15859675408666</v>
      </c>
      <c r="U164" s="4">
        <f t="shared" si="18"/>
        <v>0.937385762044114</v>
      </c>
      <c r="V164" s="4">
        <f t="shared" si="19"/>
        <v>0.938369237867407</v>
      </c>
      <c r="W164" s="4">
        <f t="shared" si="20"/>
        <v>1.34746345326124</v>
      </c>
    </row>
    <row r="165" spans="1:23">
      <c r="A165" s="5" t="s">
        <v>182</v>
      </c>
      <c r="B165" s="5">
        <v>50000</v>
      </c>
      <c r="C165" s="5">
        <v>50000</v>
      </c>
      <c r="D165" s="5">
        <v>349968</v>
      </c>
      <c r="E165" s="5">
        <v>5.9</v>
      </c>
      <c r="F165" s="5">
        <v>7.023</v>
      </c>
      <c r="G165" s="5">
        <v>4.442</v>
      </c>
      <c r="H165" s="5">
        <v>11.429</v>
      </c>
      <c r="I165" s="5">
        <v>8.657</v>
      </c>
      <c r="J165" s="5">
        <v>6.027</v>
      </c>
      <c r="K165" s="5">
        <v>349968</v>
      </c>
      <c r="L165" s="5">
        <v>350000</v>
      </c>
      <c r="M165" s="6">
        <f t="shared" si="21"/>
        <v>1.00009143693138</v>
      </c>
      <c r="N165" s="5">
        <v>1399624</v>
      </c>
      <c r="O165" s="6">
        <f t="shared" si="22"/>
        <v>3.99929136378183</v>
      </c>
      <c r="P165" s="5">
        <v>349942</v>
      </c>
      <c r="Q165" s="1">
        <f t="shared" si="23"/>
        <v>0.999925707493256</v>
      </c>
      <c r="S165" s="4">
        <f t="shared" si="16"/>
        <v>0.840096824718781</v>
      </c>
      <c r="T165" s="4">
        <f t="shared" si="17"/>
        <v>1.32823052678973</v>
      </c>
      <c r="U165" s="4">
        <f t="shared" si="18"/>
        <v>0.516230641350949</v>
      </c>
      <c r="V165" s="4">
        <f t="shared" si="19"/>
        <v>0.681529398174887</v>
      </c>
      <c r="W165" s="4">
        <f t="shared" si="20"/>
        <v>0.978928156628505</v>
      </c>
    </row>
    <row r="166" spans="1:23">
      <c r="A166" s="5" t="s">
        <v>183</v>
      </c>
      <c r="B166" s="5">
        <v>17500</v>
      </c>
      <c r="C166" s="5">
        <v>17500</v>
      </c>
      <c r="D166" s="5">
        <v>122462</v>
      </c>
      <c r="E166" s="5">
        <v>2.116</v>
      </c>
      <c r="F166" s="5">
        <v>2.453</v>
      </c>
      <c r="G166" s="5">
        <v>1.505</v>
      </c>
      <c r="H166" s="5">
        <v>3.709</v>
      </c>
      <c r="I166" s="5">
        <v>2.702</v>
      </c>
      <c r="J166" s="5">
        <v>2.004</v>
      </c>
      <c r="K166" s="5">
        <v>122462</v>
      </c>
      <c r="L166" s="5">
        <v>122836</v>
      </c>
      <c r="M166" s="6">
        <f t="shared" si="21"/>
        <v>1.00305400859042</v>
      </c>
      <c r="N166" s="5">
        <v>489540</v>
      </c>
      <c r="O166" s="6">
        <f t="shared" si="22"/>
        <v>3.99748493410201</v>
      </c>
      <c r="P166" s="5">
        <v>114930</v>
      </c>
      <c r="Q166" s="1">
        <f t="shared" si="23"/>
        <v>0.938495206676357</v>
      </c>
      <c r="S166" s="4">
        <f t="shared" si="16"/>
        <v>0.862617203424378</v>
      </c>
      <c r="T166" s="4">
        <f t="shared" si="17"/>
        <v>1.40598006644518</v>
      </c>
      <c r="U166" s="4">
        <f t="shared" si="18"/>
        <v>0.570504179023996</v>
      </c>
      <c r="V166" s="4">
        <f t="shared" si="19"/>
        <v>0.783123612139156</v>
      </c>
      <c r="W166" s="4">
        <f t="shared" si="20"/>
        <v>1.05588822355289</v>
      </c>
    </row>
    <row r="167" spans="1:23">
      <c r="A167" s="5" t="s">
        <v>184</v>
      </c>
      <c r="B167" s="5">
        <v>389874</v>
      </c>
      <c r="C167" s="5">
        <v>389874</v>
      </c>
      <c r="D167" s="5">
        <v>2101242</v>
      </c>
      <c r="E167" s="5">
        <v>63.349</v>
      </c>
      <c r="F167" s="5">
        <v>70.099</v>
      </c>
      <c r="G167" s="5">
        <v>48.803</v>
      </c>
      <c r="H167" s="5">
        <v>99.421</v>
      </c>
      <c r="I167" s="5">
        <v>84.868</v>
      </c>
      <c r="J167" s="5">
        <v>63.698</v>
      </c>
      <c r="K167" s="5">
        <v>2101242</v>
      </c>
      <c r="L167" s="5">
        <v>2101248</v>
      </c>
      <c r="M167" s="6">
        <f t="shared" si="21"/>
        <v>1.00000285545406</v>
      </c>
      <c r="N167" s="5">
        <v>6062152</v>
      </c>
      <c r="O167" s="6">
        <f t="shared" si="22"/>
        <v>2.88503275681716</v>
      </c>
      <c r="P167" s="5">
        <v>1834902</v>
      </c>
      <c r="Q167" s="1">
        <f t="shared" si="23"/>
        <v>0.873246394275386</v>
      </c>
      <c r="S167" s="4">
        <f t="shared" si="16"/>
        <v>0.903707613518024</v>
      </c>
      <c r="T167" s="4">
        <f t="shared" si="17"/>
        <v>1.29805544741102</v>
      </c>
      <c r="U167" s="4">
        <f t="shared" si="18"/>
        <v>0.637179267961497</v>
      </c>
      <c r="V167" s="4">
        <f t="shared" si="19"/>
        <v>0.746441532733186</v>
      </c>
      <c r="W167" s="4">
        <f t="shared" si="20"/>
        <v>0.994521021068165</v>
      </c>
    </row>
    <row r="168" spans="1:23">
      <c r="A168" s="5" t="s">
        <v>185</v>
      </c>
      <c r="B168" s="5">
        <v>51537</v>
      </c>
      <c r="C168" s="5">
        <v>51537</v>
      </c>
      <c r="D168" s="5">
        <v>1010777</v>
      </c>
      <c r="E168" s="5">
        <v>16.252</v>
      </c>
      <c r="F168" s="5">
        <v>15.908</v>
      </c>
      <c r="G168" s="5">
        <v>11.819</v>
      </c>
      <c r="H168" s="5">
        <v>15.186</v>
      </c>
      <c r="I168" s="5">
        <v>15.103</v>
      </c>
      <c r="J168" s="5">
        <v>13.172</v>
      </c>
      <c r="K168" s="5">
        <v>1010777</v>
      </c>
      <c r="L168" s="5">
        <v>1013676</v>
      </c>
      <c r="M168" s="6">
        <f t="shared" si="21"/>
        <v>1.00286809058774</v>
      </c>
      <c r="N168" s="5">
        <v>1896684</v>
      </c>
      <c r="O168" s="6">
        <f t="shared" si="22"/>
        <v>1.8764613757535</v>
      </c>
      <c r="P168" s="5">
        <v>637994</v>
      </c>
      <c r="Q168" s="1">
        <f t="shared" si="23"/>
        <v>0.631191647613668</v>
      </c>
      <c r="S168" s="4">
        <f t="shared" si="16"/>
        <v>1.02162433995474</v>
      </c>
      <c r="T168" s="4">
        <f t="shared" si="17"/>
        <v>1.37507403333615</v>
      </c>
      <c r="U168" s="4">
        <f t="shared" si="18"/>
        <v>1.07019623337284</v>
      </c>
      <c r="V168" s="4">
        <f t="shared" si="19"/>
        <v>1.07607760047673</v>
      </c>
      <c r="W168" s="4">
        <f t="shared" si="20"/>
        <v>1.23382933495293</v>
      </c>
    </row>
    <row r="169" spans="1:23">
      <c r="A169" s="5" t="s">
        <v>186</v>
      </c>
      <c r="B169" s="5">
        <v>89400</v>
      </c>
      <c r="C169" s="5">
        <v>89400</v>
      </c>
      <c r="D169" s="5">
        <v>1156224</v>
      </c>
      <c r="E169" s="5">
        <v>18.716</v>
      </c>
      <c r="F169" s="5">
        <v>19.402</v>
      </c>
      <c r="G169" s="5">
        <v>14.808</v>
      </c>
      <c r="H169" s="5">
        <v>17.616</v>
      </c>
      <c r="I169" s="5">
        <v>17.714</v>
      </c>
      <c r="J169" s="5">
        <v>16.594</v>
      </c>
      <c r="K169" s="5">
        <v>1156224</v>
      </c>
      <c r="L169" s="5">
        <v>1156564</v>
      </c>
      <c r="M169" s="6">
        <f t="shared" si="21"/>
        <v>1.00029406066645</v>
      </c>
      <c r="N169" s="5">
        <v>2133648</v>
      </c>
      <c r="O169" s="6">
        <f t="shared" si="22"/>
        <v>1.84535868482232</v>
      </c>
      <c r="P169" s="5">
        <v>623710</v>
      </c>
      <c r="Q169" s="1">
        <f t="shared" si="23"/>
        <v>0.539436994907561</v>
      </c>
      <c r="S169" s="4">
        <f t="shared" si="16"/>
        <v>0.964642820327801</v>
      </c>
      <c r="T169" s="4">
        <f t="shared" si="17"/>
        <v>1.26391139924365</v>
      </c>
      <c r="U169" s="4">
        <f t="shared" si="18"/>
        <v>1.06244323342416</v>
      </c>
      <c r="V169" s="4">
        <f t="shared" si="19"/>
        <v>1.05656542847465</v>
      </c>
      <c r="W169" s="4">
        <f t="shared" si="20"/>
        <v>1.127877546101</v>
      </c>
    </row>
    <row r="170" spans="1:23">
      <c r="A170" s="5" t="s">
        <v>187</v>
      </c>
      <c r="B170" s="5">
        <v>1157456</v>
      </c>
      <c r="C170" s="5">
        <v>1157456</v>
      </c>
      <c r="D170" s="5">
        <v>48538952</v>
      </c>
      <c r="E170" s="5">
        <v>978.835</v>
      </c>
      <c r="F170" s="5">
        <v>832.312</v>
      </c>
      <c r="G170" s="5">
        <v>842.782</v>
      </c>
      <c r="H170" s="5">
        <v>1023.42</v>
      </c>
      <c r="I170" s="5">
        <v>847.273</v>
      </c>
      <c r="J170" s="5">
        <v>575.378</v>
      </c>
      <c r="K170" s="5">
        <v>48538952</v>
      </c>
      <c r="L170" s="5">
        <v>48760088</v>
      </c>
      <c r="M170" s="6">
        <f t="shared" si="21"/>
        <v>1.00455584619956</v>
      </c>
      <c r="N170" s="5">
        <v>102330792</v>
      </c>
      <c r="O170" s="6">
        <f t="shared" si="22"/>
        <v>2.10822005386519</v>
      </c>
      <c r="P170" s="5">
        <v>31619966</v>
      </c>
      <c r="Q170" s="1">
        <f t="shared" si="23"/>
        <v>0.651434872347471</v>
      </c>
      <c r="S170" s="4">
        <f t="shared" si="16"/>
        <v>1.17604335874047</v>
      </c>
      <c r="T170" s="4">
        <f t="shared" si="17"/>
        <v>1.16143320574004</v>
      </c>
      <c r="U170" s="4">
        <f t="shared" si="18"/>
        <v>0.956435285610991</v>
      </c>
      <c r="V170" s="4">
        <f t="shared" si="19"/>
        <v>1.15527698864475</v>
      </c>
      <c r="W170" s="4">
        <f t="shared" si="20"/>
        <v>1.70120338281964</v>
      </c>
    </row>
    <row r="171" spans="1:23">
      <c r="A171" s="5" t="s">
        <v>188</v>
      </c>
      <c r="B171" s="5">
        <v>1102824</v>
      </c>
      <c r="C171" s="5">
        <v>1102824</v>
      </c>
      <c r="D171" s="5">
        <v>89306020</v>
      </c>
      <c r="E171" s="5">
        <v>1808.54</v>
      </c>
      <c r="F171" s="5">
        <v>1532.71</v>
      </c>
      <c r="G171" s="5">
        <v>1514.78</v>
      </c>
      <c r="H171" s="5">
        <v>1661.32</v>
      </c>
      <c r="I171" s="5">
        <v>1257.5</v>
      </c>
      <c r="J171" s="5">
        <v>1039.74</v>
      </c>
      <c r="K171" s="5">
        <v>89306020</v>
      </c>
      <c r="L171" s="5">
        <v>89890684</v>
      </c>
      <c r="M171" s="6">
        <f t="shared" si="21"/>
        <v>1.0065467479124</v>
      </c>
      <c r="N171" s="5">
        <v>172155492</v>
      </c>
      <c r="O171" s="6">
        <f t="shared" si="22"/>
        <v>1.92770310444917</v>
      </c>
      <c r="P171" s="5">
        <v>55429290</v>
      </c>
      <c r="Q171" s="1">
        <f t="shared" si="23"/>
        <v>0.620666893452423</v>
      </c>
      <c r="S171" s="4">
        <f t="shared" si="16"/>
        <v>1.17996228901749</v>
      </c>
      <c r="T171" s="4">
        <f t="shared" si="17"/>
        <v>1.19392915142793</v>
      </c>
      <c r="U171" s="4">
        <f t="shared" si="18"/>
        <v>1.08861628102954</v>
      </c>
      <c r="V171" s="4">
        <f t="shared" si="19"/>
        <v>1.4382027833002</v>
      </c>
      <c r="W171" s="4">
        <f t="shared" si="20"/>
        <v>1.73941562313655</v>
      </c>
    </row>
    <row r="172" spans="1:23">
      <c r="A172" s="5" t="s">
        <v>189</v>
      </c>
      <c r="B172" s="5">
        <v>60000</v>
      </c>
      <c r="C172" s="5">
        <v>60000</v>
      </c>
      <c r="D172" s="5">
        <v>299998</v>
      </c>
      <c r="E172" s="5">
        <v>5.733</v>
      </c>
      <c r="F172" s="5">
        <v>6.931</v>
      </c>
      <c r="G172" s="5">
        <v>4.177</v>
      </c>
      <c r="H172" s="5">
        <v>6.76</v>
      </c>
      <c r="I172" s="5">
        <v>6.342</v>
      </c>
      <c r="J172" s="5">
        <v>5.529</v>
      </c>
      <c r="K172" s="5">
        <v>299998</v>
      </c>
      <c r="L172" s="5">
        <v>300000</v>
      </c>
      <c r="M172" s="6">
        <f t="shared" si="21"/>
        <v>1.00000666671111</v>
      </c>
      <c r="N172" s="5">
        <v>720000</v>
      </c>
      <c r="O172" s="6">
        <f t="shared" si="22"/>
        <v>2.40001600010667</v>
      </c>
      <c r="P172" s="5">
        <v>180000</v>
      </c>
      <c r="Q172" s="1">
        <f t="shared" si="23"/>
        <v>0.600004000026667</v>
      </c>
      <c r="S172" s="4">
        <f t="shared" si="16"/>
        <v>0.827153368922233</v>
      </c>
      <c r="T172" s="4">
        <f t="shared" si="17"/>
        <v>1.37251615992339</v>
      </c>
      <c r="U172" s="4">
        <f t="shared" si="18"/>
        <v>0.848076923076923</v>
      </c>
      <c r="V172" s="4">
        <f t="shared" si="19"/>
        <v>0.903973509933775</v>
      </c>
      <c r="W172" s="4">
        <f t="shared" si="20"/>
        <v>1.0368963646229</v>
      </c>
    </row>
    <row r="173" spans="1:23">
      <c r="A173" s="5" t="s">
        <v>190</v>
      </c>
      <c r="B173" s="5">
        <v>182730</v>
      </c>
      <c r="C173" s="5">
        <v>182730</v>
      </c>
      <c r="D173" s="5">
        <v>1641672</v>
      </c>
      <c r="E173" s="5">
        <v>30.776</v>
      </c>
      <c r="F173" s="5">
        <v>34.916</v>
      </c>
      <c r="G173" s="5">
        <v>23.63</v>
      </c>
      <c r="H173" s="5">
        <v>34.905</v>
      </c>
      <c r="I173" s="5">
        <v>33.446</v>
      </c>
      <c r="J173" s="5">
        <v>30.504</v>
      </c>
      <c r="K173" s="5">
        <v>1641672</v>
      </c>
      <c r="L173" s="5">
        <v>1643024</v>
      </c>
      <c r="M173" s="6">
        <f t="shared" si="21"/>
        <v>1.000823550624</v>
      </c>
      <c r="N173" s="5">
        <v>3782476</v>
      </c>
      <c r="O173" s="6">
        <f t="shared" si="22"/>
        <v>2.30403880921402</v>
      </c>
      <c r="P173" s="5">
        <v>1264354</v>
      </c>
      <c r="Q173" s="1">
        <f t="shared" si="23"/>
        <v>0.770162371046104</v>
      </c>
      <c r="S173" s="4">
        <f t="shared" si="16"/>
        <v>0.88142971703517</v>
      </c>
      <c r="T173" s="4">
        <f t="shared" si="17"/>
        <v>1.30241218789674</v>
      </c>
      <c r="U173" s="4">
        <f t="shared" si="18"/>
        <v>0.881707491763358</v>
      </c>
      <c r="V173" s="4">
        <f t="shared" si="19"/>
        <v>0.92016982598816</v>
      </c>
      <c r="W173" s="4">
        <f t="shared" si="20"/>
        <v>1.00891686336218</v>
      </c>
    </row>
    <row r="174" spans="1:23">
      <c r="A174" s="5" t="s">
        <v>191</v>
      </c>
      <c r="B174" s="5">
        <v>24993</v>
      </c>
      <c r="C174" s="5">
        <v>24993</v>
      </c>
      <c r="D174" s="5">
        <v>69972</v>
      </c>
      <c r="E174" s="5">
        <v>1.365</v>
      </c>
      <c r="F174" s="5">
        <v>1.556</v>
      </c>
      <c r="G174" s="5">
        <v>0.949</v>
      </c>
      <c r="H174" s="5">
        <v>2.11</v>
      </c>
      <c r="I174" s="5">
        <v>2.131</v>
      </c>
      <c r="J174" s="5">
        <v>1.203</v>
      </c>
      <c r="K174" s="5">
        <v>69972</v>
      </c>
      <c r="L174" s="5">
        <v>69980</v>
      </c>
      <c r="M174" s="6">
        <f t="shared" si="21"/>
        <v>1.00011433144686</v>
      </c>
      <c r="N174" s="5">
        <v>119968</v>
      </c>
      <c r="O174" s="6">
        <f t="shared" si="22"/>
        <v>1.71451437717944</v>
      </c>
      <c r="P174" s="5">
        <v>64978</v>
      </c>
      <c r="Q174" s="1">
        <f t="shared" si="23"/>
        <v>0.928628594294861</v>
      </c>
      <c r="S174" s="4">
        <f t="shared" si="16"/>
        <v>0.877249357326478</v>
      </c>
      <c r="T174" s="4">
        <f t="shared" si="17"/>
        <v>1.43835616438356</v>
      </c>
      <c r="U174" s="4">
        <f t="shared" si="18"/>
        <v>0.646919431279621</v>
      </c>
      <c r="V174" s="4">
        <f t="shared" si="19"/>
        <v>0.640544345377757</v>
      </c>
      <c r="W174" s="4">
        <f t="shared" si="20"/>
        <v>1.13466334164589</v>
      </c>
    </row>
    <row r="175" spans="1:23">
      <c r="A175" s="5" t="s">
        <v>192</v>
      </c>
      <c r="B175" s="5">
        <v>16129</v>
      </c>
      <c r="C175" s="5">
        <v>16129</v>
      </c>
      <c r="D175" s="5">
        <v>253009</v>
      </c>
      <c r="E175" s="5">
        <v>3.918</v>
      </c>
      <c r="F175" s="5">
        <v>4.083</v>
      </c>
      <c r="G175" s="5">
        <v>2.868</v>
      </c>
      <c r="H175" s="5">
        <v>4.618</v>
      </c>
      <c r="I175" s="5">
        <v>3.863</v>
      </c>
      <c r="J175" s="5">
        <v>3.512</v>
      </c>
      <c r="K175" s="5">
        <v>253009</v>
      </c>
      <c r="L175" s="5">
        <v>253168</v>
      </c>
      <c r="M175" s="6">
        <f t="shared" si="21"/>
        <v>1.00062843614259</v>
      </c>
      <c r="N175" s="5">
        <v>621312</v>
      </c>
      <c r="O175" s="6">
        <f t="shared" si="22"/>
        <v>2.45569129951899</v>
      </c>
      <c r="P175" s="5">
        <v>178998</v>
      </c>
      <c r="Q175" s="1">
        <f t="shared" si="23"/>
        <v>0.707476809125367</v>
      </c>
      <c r="S175" s="4">
        <f t="shared" si="16"/>
        <v>0.959588537839824</v>
      </c>
      <c r="T175" s="4">
        <f t="shared" si="17"/>
        <v>1.36610878661088</v>
      </c>
      <c r="U175" s="4">
        <f t="shared" si="18"/>
        <v>0.848419229103508</v>
      </c>
      <c r="V175" s="4">
        <f t="shared" si="19"/>
        <v>1.01423763914056</v>
      </c>
      <c r="W175" s="4">
        <f t="shared" si="20"/>
        <v>1.11560364464692</v>
      </c>
    </row>
    <row r="176" spans="1:23">
      <c r="A176" s="5" t="s">
        <v>193</v>
      </c>
      <c r="B176" s="5">
        <v>65025</v>
      </c>
      <c r="C176" s="5">
        <v>65025</v>
      </c>
      <c r="D176" s="5">
        <v>1030225</v>
      </c>
      <c r="E176" s="5">
        <v>17.753</v>
      </c>
      <c r="F176" s="5">
        <v>18.842</v>
      </c>
      <c r="G176" s="5">
        <v>13.185</v>
      </c>
      <c r="H176" s="5">
        <v>21.351</v>
      </c>
      <c r="I176" s="5">
        <v>17.811</v>
      </c>
      <c r="J176" s="5">
        <v>15.568</v>
      </c>
      <c r="K176" s="5">
        <v>1030225</v>
      </c>
      <c r="L176" s="5">
        <v>1030544</v>
      </c>
      <c r="M176" s="6">
        <f t="shared" si="21"/>
        <v>1.00030964109782</v>
      </c>
      <c r="N176" s="5">
        <v>2546424</v>
      </c>
      <c r="O176" s="6">
        <f t="shared" si="22"/>
        <v>2.47171637263705</v>
      </c>
      <c r="P176" s="5">
        <v>730168</v>
      </c>
      <c r="Q176" s="1">
        <f t="shared" si="23"/>
        <v>0.708746147686185</v>
      </c>
      <c r="S176" s="4">
        <f t="shared" si="16"/>
        <v>0.94220358772954</v>
      </c>
      <c r="T176" s="4">
        <f t="shared" si="17"/>
        <v>1.34645430413348</v>
      </c>
      <c r="U176" s="4">
        <f t="shared" si="18"/>
        <v>0.831483302889794</v>
      </c>
      <c r="V176" s="4">
        <f t="shared" si="19"/>
        <v>0.996743585424738</v>
      </c>
      <c r="W176" s="4">
        <f t="shared" si="20"/>
        <v>1.140352004111</v>
      </c>
    </row>
    <row r="177" spans="1:23">
      <c r="A177" s="5" t="s">
        <v>194</v>
      </c>
      <c r="B177" s="5">
        <v>146689</v>
      </c>
      <c r="C177" s="5">
        <v>146689</v>
      </c>
      <c r="D177" s="5">
        <v>3636649</v>
      </c>
      <c r="E177" s="5">
        <v>83.534</v>
      </c>
      <c r="F177" s="5">
        <v>79.736</v>
      </c>
      <c r="G177" s="5">
        <v>52.569</v>
      </c>
      <c r="H177" s="5">
        <v>58.158</v>
      </c>
      <c r="I177" s="5">
        <v>50.471</v>
      </c>
      <c r="J177" s="5">
        <v>52.927</v>
      </c>
      <c r="K177" s="5">
        <v>3636649</v>
      </c>
      <c r="L177" s="5">
        <v>3637340</v>
      </c>
      <c r="M177" s="6">
        <f t="shared" si="21"/>
        <v>1.00019001008896</v>
      </c>
      <c r="N177" s="5">
        <v>6140832</v>
      </c>
      <c r="O177" s="6">
        <f t="shared" si="22"/>
        <v>1.68859628740635</v>
      </c>
      <c r="P177" s="5">
        <v>1993054</v>
      </c>
      <c r="Q177" s="1">
        <f t="shared" si="23"/>
        <v>0.548046842024072</v>
      </c>
      <c r="S177" s="4">
        <f t="shared" si="16"/>
        <v>1.04763218621451</v>
      </c>
      <c r="T177" s="4">
        <f t="shared" si="17"/>
        <v>1.58903536304666</v>
      </c>
      <c r="U177" s="4">
        <f t="shared" si="18"/>
        <v>1.43632862202964</v>
      </c>
      <c r="V177" s="4">
        <f t="shared" si="19"/>
        <v>1.65508906104496</v>
      </c>
      <c r="W177" s="4">
        <f t="shared" si="20"/>
        <v>1.57828707464999</v>
      </c>
    </row>
    <row r="178" spans="1:23">
      <c r="A178" s="5" t="s">
        <v>195</v>
      </c>
      <c r="B178" s="5">
        <v>3191</v>
      </c>
      <c r="C178" s="5">
        <v>3191</v>
      </c>
      <c r="D178" s="5">
        <v>36516</v>
      </c>
      <c r="E178" s="5">
        <v>0.568</v>
      </c>
      <c r="F178" s="5">
        <v>0.561</v>
      </c>
      <c r="G178" s="5">
        <v>0.405</v>
      </c>
      <c r="H178" s="5">
        <v>0.557</v>
      </c>
      <c r="I178" s="5">
        <v>0.478</v>
      </c>
      <c r="J178" s="5">
        <v>0.532</v>
      </c>
      <c r="K178" s="5">
        <v>36516</v>
      </c>
      <c r="L178" s="5">
        <v>39384</v>
      </c>
      <c r="M178" s="6">
        <f t="shared" si="21"/>
        <v>1.07854091357213</v>
      </c>
      <c r="N178" s="5">
        <v>76024</v>
      </c>
      <c r="O178" s="6">
        <f t="shared" si="22"/>
        <v>2.08193668528864</v>
      </c>
      <c r="P178" s="5">
        <v>20664</v>
      </c>
      <c r="Q178" s="1">
        <f t="shared" si="23"/>
        <v>0.565888925402563</v>
      </c>
      <c r="S178" s="4">
        <f t="shared" si="16"/>
        <v>1.01247771836007</v>
      </c>
      <c r="T178" s="4">
        <f t="shared" si="17"/>
        <v>1.40246913580247</v>
      </c>
      <c r="U178" s="4">
        <f t="shared" si="18"/>
        <v>1.0197486535009</v>
      </c>
      <c r="V178" s="4">
        <f t="shared" si="19"/>
        <v>1.18828451882845</v>
      </c>
      <c r="W178" s="4">
        <f t="shared" si="20"/>
        <v>1.06766917293233</v>
      </c>
    </row>
    <row r="179" spans="1:23">
      <c r="A179" s="5" t="s">
        <v>196</v>
      </c>
      <c r="B179" s="5">
        <v>3271</v>
      </c>
      <c r="C179" s="5">
        <v>3271</v>
      </c>
      <c r="D179" s="5">
        <v>36789</v>
      </c>
      <c r="E179" s="5">
        <v>0.579</v>
      </c>
      <c r="F179" s="5">
        <v>0.575</v>
      </c>
      <c r="G179" s="5">
        <v>0.395</v>
      </c>
      <c r="H179" s="5">
        <v>0.568</v>
      </c>
      <c r="I179" s="5">
        <v>0.493</v>
      </c>
      <c r="J179" s="5">
        <v>0.537</v>
      </c>
      <c r="K179" s="5">
        <v>36789</v>
      </c>
      <c r="L179" s="5">
        <v>39724</v>
      </c>
      <c r="M179" s="6">
        <f t="shared" si="21"/>
        <v>1.07977928185055</v>
      </c>
      <c r="N179" s="5">
        <v>76884</v>
      </c>
      <c r="O179" s="6">
        <f t="shared" si="22"/>
        <v>2.08986381798907</v>
      </c>
      <c r="P179" s="5">
        <v>20900</v>
      </c>
      <c r="Q179" s="1">
        <f t="shared" si="23"/>
        <v>0.568104596482644</v>
      </c>
      <c r="S179" s="4">
        <f t="shared" si="16"/>
        <v>1.00695652173913</v>
      </c>
      <c r="T179" s="4">
        <f t="shared" si="17"/>
        <v>1.46582278481013</v>
      </c>
      <c r="U179" s="4">
        <f t="shared" si="18"/>
        <v>1.0193661971831</v>
      </c>
      <c r="V179" s="4">
        <f t="shared" si="19"/>
        <v>1.17444219066937</v>
      </c>
      <c r="W179" s="4">
        <f t="shared" si="20"/>
        <v>1.07821229050279</v>
      </c>
    </row>
    <row r="180" spans="1:23">
      <c r="A180" s="5" t="s">
        <v>197</v>
      </c>
      <c r="B180" s="5">
        <v>3431</v>
      </c>
      <c r="C180" s="5">
        <v>3431</v>
      </c>
      <c r="D180" s="5">
        <v>36741</v>
      </c>
      <c r="E180" s="5">
        <v>0.583</v>
      </c>
      <c r="F180" s="5">
        <v>0.582</v>
      </c>
      <c r="G180" s="5">
        <v>0.394</v>
      </c>
      <c r="H180" s="5">
        <v>0.602</v>
      </c>
      <c r="I180" s="5">
        <v>0.494</v>
      </c>
      <c r="J180" s="5">
        <v>0.549</v>
      </c>
      <c r="K180" s="5">
        <v>36741</v>
      </c>
      <c r="L180" s="5">
        <v>39892</v>
      </c>
      <c r="M180" s="6">
        <f t="shared" si="21"/>
        <v>1.08576249965978</v>
      </c>
      <c r="N180" s="5">
        <v>78684</v>
      </c>
      <c r="O180" s="6">
        <f t="shared" si="22"/>
        <v>2.14158569445578</v>
      </c>
      <c r="P180" s="5">
        <v>20998</v>
      </c>
      <c r="Q180" s="1">
        <f t="shared" si="23"/>
        <v>0.571514112299611</v>
      </c>
      <c r="S180" s="4">
        <f t="shared" si="16"/>
        <v>1.00171821305842</v>
      </c>
      <c r="T180" s="4">
        <f t="shared" si="17"/>
        <v>1.47969543147208</v>
      </c>
      <c r="U180" s="4">
        <f t="shared" si="18"/>
        <v>0.96843853820598</v>
      </c>
      <c r="V180" s="4">
        <f t="shared" si="19"/>
        <v>1.18016194331984</v>
      </c>
      <c r="W180" s="4">
        <f t="shared" si="20"/>
        <v>1.06193078324226</v>
      </c>
    </row>
    <row r="181" spans="1:23">
      <c r="A181" s="5" t="s">
        <v>198</v>
      </c>
      <c r="B181" s="5">
        <v>3511</v>
      </c>
      <c r="C181" s="5">
        <v>3511</v>
      </c>
      <c r="D181" s="5">
        <v>37680</v>
      </c>
      <c r="E181" s="5">
        <v>0.59</v>
      </c>
      <c r="F181" s="5">
        <v>0.592</v>
      </c>
      <c r="G181" s="5">
        <v>0.402</v>
      </c>
      <c r="H181" s="5">
        <v>0.591</v>
      </c>
      <c r="I181" s="5">
        <v>0.511</v>
      </c>
      <c r="J181" s="5">
        <v>0.589</v>
      </c>
      <c r="K181" s="5">
        <v>37680</v>
      </c>
      <c r="L181" s="5">
        <v>40832</v>
      </c>
      <c r="M181" s="6">
        <f t="shared" si="21"/>
        <v>1.08365180467091</v>
      </c>
      <c r="N181" s="5">
        <v>80732</v>
      </c>
      <c r="O181" s="6">
        <f t="shared" si="22"/>
        <v>2.14256900212314</v>
      </c>
      <c r="P181" s="5">
        <v>21518</v>
      </c>
      <c r="Q181" s="1">
        <f t="shared" si="23"/>
        <v>0.571072186836518</v>
      </c>
      <c r="S181" s="4">
        <f t="shared" si="16"/>
        <v>0.996621621621622</v>
      </c>
      <c r="T181" s="4">
        <f t="shared" si="17"/>
        <v>1.46766169154229</v>
      </c>
      <c r="U181" s="4">
        <f t="shared" si="18"/>
        <v>0.998307952622673</v>
      </c>
      <c r="V181" s="4">
        <f t="shared" si="19"/>
        <v>1.1545988258317</v>
      </c>
      <c r="W181" s="4">
        <f t="shared" si="20"/>
        <v>1.00169779286927</v>
      </c>
    </row>
    <row r="182" spans="1:23">
      <c r="A182" s="5" t="s">
        <v>199</v>
      </c>
      <c r="B182" s="5">
        <v>3543</v>
      </c>
      <c r="C182" s="5">
        <v>3543</v>
      </c>
      <c r="D182" s="5">
        <v>38136</v>
      </c>
      <c r="E182" s="5">
        <v>0.617</v>
      </c>
      <c r="F182" s="5">
        <v>0.588</v>
      </c>
      <c r="G182" s="5">
        <v>0.404</v>
      </c>
      <c r="H182" s="5">
        <v>0.604</v>
      </c>
      <c r="I182" s="5">
        <v>0.529</v>
      </c>
      <c r="J182" s="5">
        <v>0.559</v>
      </c>
      <c r="K182" s="5">
        <v>38136</v>
      </c>
      <c r="L182" s="5">
        <v>41344</v>
      </c>
      <c r="M182" s="6">
        <f t="shared" si="21"/>
        <v>1.08411999160898</v>
      </c>
      <c r="N182" s="5">
        <v>81456</v>
      </c>
      <c r="O182" s="6">
        <f t="shared" si="22"/>
        <v>2.13593455003147</v>
      </c>
      <c r="P182" s="5">
        <v>21784</v>
      </c>
      <c r="Q182" s="1">
        <f t="shared" si="23"/>
        <v>0.571218795888399</v>
      </c>
      <c r="S182" s="4">
        <f t="shared" si="16"/>
        <v>1.04931972789116</v>
      </c>
      <c r="T182" s="4">
        <f t="shared" si="17"/>
        <v>1.52722772277228</v>
      </c>
      <c r="U182" s="4">
        <f t="shared" si="18"/>
        <v>1.02152317880795</v>
      </c>
      <c r="V182" s="4">
        <f t="shared" si="19"/>
        <v>1.16635160680529</v>
      </c>
      <c r="W182" s="4">
        <f t="shared" si="20"/>
        <v>1.10375670840787</v>
      </c>
    </row>
    <row r="183" spans="1:23">
      <c r="A183" s="5" t="s">
        <v>200</v>
      </c>
      <c r="B183" s="5">
        <v>1000000</v>
      </c>
      <c r="C183" s="5">
        <v>1000000</v>
      </c>
      <c r="D183" s="5">
        <v>4996000</v>
      </c>
      <c r="E183" s="5">
        <v>135.086</v>
      </c>
      <c r="F183" s="5">
        <v>153.284</v>
      </c>
      <c r="G183" s="5">
        <v>132.832</v>
      </c>
      <c r="H183" s="5">
        <v>203.692</v>
      </c>
      <c r="I183" s="5">
        <v>142.169</v>
      </c>
      <c r="J183" s="5">
        <v>99.584</v>
      </c>
      <c r="K183" s="5">
        <v>4996000</v>
      </c>
      <c r="L183" s="5">
        <v>4998000</v>
      </c>
      <c r="M183" s="6">
        <f t="shared" si="21"/>
        <v>1.00040032025621</v>
      </c>
      <c r="N183" s="5">
        <v>11992000</v>
      </c>
      <c r="O183" s="6">
        <f t="shared" si="22"/>
        <v>2.40032025620496</v>
      </c>
      <c r="P183" s="5">
        <v>2999000</v>
      </c>
      <c r="Q183" s="1">
        <f t="shared" si="23"/>
        <v>0.600280224179343</v>
      </c>
      <c r="S183" s="4">
        <f t="shared" si="16"/>
        <v>0.881279194175517</v>
      </c>
      <c r="T183" s="4">
        <f t="shared" si="17"/>
        <v>1.01696880269815</v>
      </c>
      <c r="U183" s="4">
        <f t="shared" si="18"/>
        <v>0.663187557685132</v>
      </c>
      <c r="V183" s="4">
        <f t="shared" si="19"/>
        <v>0.95017901230226</v>
      </c>
      <c r="W183" s="4">
        <f t="shared" si="20"/>
        <v>1.35650305269923</v>
      </c>
    </row>
    <row r="184" spans="1:23">
      <c r="A184" s="5" t="s">
        <v>201</v>
      </c>
      <c r="B184" s="5">
        <v>999999</v>
      </c>
      <c r="C184" s="5">
        <v>999999</v>
      </c>
      <c r="D184" s="5">
        <v>4995991</v>
      </c>
      <c r="E184" s="5">
        <v>136.884</v>
      </c>
      <c r="F184" s="5">
        <v>196.65</v>
      </c>
      <c r="G184" s="5">
        <v>109.462</v>
      </c>
      <c r="H184" s="5">
        <v>175.987</v>
      </c>
      <c r="I184" s="5">
        <v>175.093</v>
      </c>
      <c r="J184" s="5">
        <v>105.497</v>
      </c>
      <c r="K184" s="5">
        <v>4995991</v>
      </c>
      <c r="L184" s="5">
        <v>4997980</v>
      </c>
      <c r="M184" s="6">
        <f t="shared" si="21"/>
        <v>1.00039811921198</v>
      </c>
      <c r="N184" s="5">
        <v>11991980</v>
      </c>
      <c r="O184" s="6">
        <f t="shared" si="22"/>
        <v>2.40032057703867</v>
      </c>
      <c r="P184" s="5">
        <v>2998996</v>
      </c>
      <c r="Q184" s="1">
        <f t="shared" si="23"/>
        <v>0.600280504908836</v>
      </c>
      <c r="S184" s="4">
        <f t="shared" si="16"/>
        <v>0.696079328756674</v>
      </c>
      <c r="T184" s="4">
        <f t="shared" si="17"/>
        <v>1.25051616085948</v>
      </c>
      <c r="U184" s="4">
        <f t="shared" si="18"/>
        <v>0.777807451686772</v>
      </c>
      <c r="V184" s="4">
        <f t="shared" si="19"/>
        <v>0.781778826109553</v>
      </c>
      <c r="W184" s="4">
        <f t="shared" si="20"/>
        <v>1.2975155691631</v>
      </c>
    </row>
    <row r="185" spans="1:23">
      <c r="A185" s="5" t="s">
        <v>202</v>
      </c>
      <c r="B185" s="5">
        <v>923136</v>
      </c>
      <c r="C185" s="5">
        <v>923136</v>
      </c>
      <c r="D185" s="5">
        <v>41005206</v>
      </c>
      <c r="E185" s="5">
        <v>804.129</v>
      </c>
      <c r="F185" s="5">
        <v>688.701</v>
      </c>
      <c r="G185" s="5">
        <v>635.981</v>
      </c>
      <c r="H185" s="5">
        <v>540.622</v>
      </c>
      <c r="I185" s="5">
        <v>568.8</v>
      </c>
      <c r="J185" s="5">
        <v>481.408</v>
      </c>
      <c r="K185" s="5">
        <v>41005206</v>
      </c>
      <c r="L185" s="5">
        <v>41067432</v>
      </c>
      <c r="M185" s="6">
        <f t="shared" si="21"/>
        <v>1.00151751462973</v>
      </c>
      <c r="N185" s="5">
        <v>54463956</v>
      </c>
      <c r="O185" s="6">
        <f t="shared" si="22"/>
        <v>1.3282205191214</v>
      </c>
      <c r="P185" s="5">
        <v>22057152</v>
      </c>
      <c r="Q185" s="1">
        <f t="shared" si="23"/>
        <v>0.537911015493984</v>
      </c>
      <c r="S185" s="4">
        <f t="shared" si="16"/>
        <v>1.16760248642009</v>
      </c>
      <c r="T185" s="4">
        <f t="shared" si="17"/>
        <v>1.26439154628833</v>
      </c>
      <c r="U185" s="4">
        <f t="shared" si="18"/>
        <v>1.48741449663536</v>
      </c>
      <c r="V185" s="4">
        <f t="shared" si="19"/>
        <v>1.41372890295359</v>
      </c>
      <c r="W185" s="4">
        <f t="shared" si="20"/>
        <v>1.6703690009306</v>
      </c>
    </row>
    <row r="186" spans="1:23">
      <c r="A186" s="5" t="s">
        <v>203</v>
      </c>
      <c r="B186" s="5">
        <v>7245</v>
      </c>
      <c r="C186" s="5">
        <v>7245</v>
      </c>
      <c r="D186" s="5">
        <v>46142</v>
      </c>
      <c r="E186" s="5">
        <v>0.738</v>
      </c>
      <c r="F186" s="5">
        <v>0.9</v>
      </c>
      <c r="G186" s="5">
        <v>0.51</v>
      </c>
      <c r="H186" s="5">
        <v>0.979</v>
      </c>
      <c r="I186" s="5">
        <v>0.767</v>
      </c>
      <c r="J186" s="5">
        <v>0.735</v>
      </c>
      <c r="K186" s="5">
        <v>46142</v>
      </c>
      <c r="L186" s="5">
        <v>46196</v>
      </c>
      <c r="M186" s="6">
        <f t="shared" si="21"/>
        <v>1.0011703003771</v>
      </c>
      <c r="N186" s="5">
        <v>129668</v>
      </c>
      <c r="O186" s="6">
        <f t="shared" si="22"/>
        <v>2.81019461661827</v>
      </c>
      <c r="P186" s="5">
        <v>27936</v>
      </c>
      <c r="Q186" s="1">
        <f t="shared" si="23"/>
        <v>0.605435395084738</v>
      </c>
      <c r="S186" s="4">
        <f t="shared" si="16"/>
        <v>0.82</v>
      </c>
      <c r="T186" s="4">
        <f t="shared" si="17"/>
        <v>1.44705882352941</v>
      </c>
      <c r="U186" s="4">
        <f t="shared" si="18"/>
        <v>0.753830439223698</v>
      </c>
      <c r="V186" s="4">
        <f t="shared" si="19"/>
        <v>0.96219035202086</v>
      </c>
      <c r="W186" s="4">
        <f t="shared" si="20"/>
        <v>1.00408163265306</v>
      </c>
    </row>
    <row r="187" spans="1:23">
      <c r="A187" s="5" t="s">
        <v>204</v>
      </c>
      <c r="B187" s="5">
        <v>3973</v>
      </c>
      <c r="C187" s="5">
        <v>3973</v>
      </c>
      <c r="D187" s="5">
        <v>80211</v>
      </c>
      <c r="E187" s="5">
        <v>1.2</v>
      </c>
      <c r="F187" s="5">
        <v>1.113</v>
      </c>
      <c r="G187" s="5">
        <v>0.848</v>
      </c>
      <c r="H187" s="5">
        <v>0.937</v>
      </c>
      <c r="I187" s="5">
        <v>0.935</v>
      </c>
      <c r="J187" s="5">
        <v>1.005</v>
      </c>
      <c r="K187" s="5">
        <v>80211</v>
      </c>
      <c r="L187" s="5">
        <v>80488</v>
      </c>
      <c r="M187" s="6">
        <f t="shared" si="21"/>
        <v>1.00345339167945</v>
      </c>
      <c r="N187" s="5">
        <v>139228</v>
      </c>
      <c r="O187" s="6">
        <f t="shared" si="22"/>
        <v>1.73577190160951</v>
      </c>
      <c r="P187" s="5">
        <v>49126</v>
      </c>
      <c r="Q187" s="1">
        <f t="shared" si="23"/>
        <v>0.612459637705552</v>
      </c>
      <c r="S187" s="4">
        <f t="shared" si="16"/>
        <v>1.07816711590296</v>
      </c>
      <c r="T187" s="4">
        <f t="shared" si="17"/>
        <v>1.41509433962264</v>
      </c>
      <c r="U187" s="4">
        <f t="shared" si="18"/>
        <v>1.28068303094984</v>
      </c>
      <c r="V187" s="4">
        <f t="shared" si="19"/>
        <v>1.28342245989305</v>
      </c>
      <c r="W187" s="4">
        <f t="shared" si="20"/>
        <v>1.19402985074627</v>
      </c>
    </row>
    <row r="188" spans="1:23">
      <c r="A188" s="5" t="s">
        <v>205</v>
      </c>
      <c r="B188" s="5">
        <v>3251</v>
      </c>
      <c r="C188" s="5">
        <v>3251</v>
      </c>
      <c r="D188" s="5">
        <v>66775</v>
      </c>
      <c r="E188" s="5">
        <v>0.99</v>
      </c>
      <c r="F188" s="5">
        <v>0.912</v>
      </c>
      <c r="G188" s="5">
        <v>0.662</v>
      </c>
      <c r="H188" s="5">
        <v>0.794</v>
      </c>
      <c r="I188" s="5">
        <v>0.811</v>
      </c>
      <c r="J188" s="5">
        <v>0.847</v>
      </c>
      <c r="K188" s="5">
        <v>66775</v>
      </c>
      <c r="L188" s="5">
        <v>67040</v>
      </c>
      <c r="M188" s="6">
        <f t="shared" si="21"/>
        <v>1.00396855110446</v>
      </c>
      <c r="N188" s="5">
        <v>117544</v>
      </c>
      <c r="O188" s="6">
        <f t="shared" si="22"/>
        <v>1.7602995132909</v>
      </c>
      <c r="P188" s="5">
        <v>41258</v>
      </c>
      <c r="Q188" s="1">
        <f t="shared" si="23"/>
        <v>0.617865967802321</v>
      </c>
      <c r="S188" s="4">
        <f t="shared" si="16"/>
        <v>1.08552631578947</v>
      </c>
      <c r="T188" s="4">
        <f t="shared" si="17"/>
        <v>1.49546827794562</v>
      </c>
      <c r="U188" s="4">
        <f t="shared" si="18"/>
        <v>1.24685138539043</v>
      </c>
      <c r="V188" s="4">
        <f t="shared" si="19"/>
        <v>1.22071516646116</v>
      </c>
      <c r="W188" s="4">
        <f t="shared" si="20"/>
        <v>1.16883116883117</v>
      </c>
    </row>
    <row r="189" spans="1:23">
      <c r="A189" s="5" t="s">
        <v>206</v>
      </c>
      <c r="B189" s="5">
        <v>6867</v>
      </c>
      <c r="C189" s="5">
        <v>6867</v>
      </c>
      <c r="D189" s="5">
        <v>98671</v>
      </c>
      <c r="E189" s="5">
        <v>1.555</v>
      </c>
      <c r="F189" s="5">
        <v>1.471</v>
      </c>
      <c r="G189" s="5">
        <v>1.047</v>
      </c>
      <c r="H189" s="5">
        <v>1.145</v>
      </c>
      <c r="I189" s="5">
        <v>1.308</v>
      </c>
      <c r="J189" s="5">
        <v>1.271</v>
      </c>
      <c r="K189" s="5">
        <v>98671</v>
      </c>
      <c r="L189" s="5">
        <v>98932</v>
      </c>
      <c r="M189" s="6">
        <f t="shared" si="21"/>
        <v>1.00264515409796</v>
      </c>
      <c r="N189" s="5">
        <v>161136</v>
      </c>
      <c r="O189" s="6">
        <f t="shared" si="22"/>
        <v>1.63306341275552</v>
      </c>
      <c r="P189" s="5">
        <v>63774</v>
      </c>
      <c r="Q189" s="1">
        <f t="shared" si="23"/>
        <v>0.646329722005452</v>
      </c>
      <c r="S189" s="4">
        <f t="shared" si="16"/>
        <v>1.05710401087695</v>
      </c>
      <c r="T189" s="4">
        <f t="shared" si="17"/>
        <v>1.48519579751671</v>
      </c>
      <c r="U189" s="4">
        <f t="shared" si="18"/>
        <v>1.35807860262009</v>
      </c>
      <c r="V189" s="4">
        <f t="shared" si="19"/>
        <v>1.1888379204893</v>
      </c>
      <c r="W189" s="4">
        <f t="shared" si="20"/>
        <v>1.2234461054288</v>
      </c>
    </row>
    <row r="190" spans="1:23">
      <c r="A190" s="5" t="s">
        <v>207</v>
      </c>
      <c r="B190" s="5">
        <v>3363</v>
      </c>
      <c r="C190" s="5">
        <v>3363</v>
      </c>
      <c r="D190" s="5">
        <v>99471</v>
      </c>
      <c r="E190" s="5">
        <v>1.491</v>
      </c>
      <c r="F190" s="5">
        <v>1.303</v>
      </c>
      <c r="G190" s="5">
        <v>1.009</v>
      </c>
      <c r="H190" s="5">
        <v>0.844</v>
      </c>
      <c r="I190" s="5">
        <v>0.928</v>
      </c>
      <c r="J190" s="5">
        <v>1.205</v>
      </c>
      <c r="K190" s="5">
        <v>99471</v>
      </c>
      <c r="L190" s="5">
        <v>99836</v>
      </c>
      <c r="M190" s="6">
        <f t="shared" si="21"/>
        <v>1.00366941118517</v>
      </c>
      <c r="N190" s="5">
        <v>123456</v>
      </c>
      <c r="O190" s="6">
        <f t="shared" si="22"/>
        <v>1.24112555418162</v>
      </c>
      <c r="P190" s="5">
        <v>53096</v>
      </c>
      <c r="Q190" s="1">
        <f t="shared" si="23"/>
        <v>0.533783715856883</v>
      </c>
      <c r="S190" s="4">
        <f t="shared" si="16"/>
        <v>1.14428242517268</v>
      </c>
      <c r="T190" s="4">
        <f t="shared" si="17"/>
        <v>1.47770069375619</v>
      </c>
      <c r="U190" s="4">
        <f t="shared" si="18"/>
        <v>1.76658767772512</v>
      </c>
      <c r="V190" s="4">
        <f t="shared" si="19"/>
        <v>1.60668103448276</v>
      </c>
      <c r="W190" s="4">
        <f t="shared" si="20"/>
        <v>1.23734439834025</v>
      </c>
    </row>
    <row r="191" spans="1:23">
      <c r="A191" s="5" t="s">
        <v>208</v>
      </c>
      <c r="B191" s="5">
        <v>6001</v>
      </c>
      <c r="C191" s="5">
        <v>6001</v>
      </c>
      <c r="D191" s="5">
        <v>2269501</v>
      </c>
      <c r="E191" s="5">
        <v>38.073</v>
      </c>
      <c r="F191" s="5">
        <v>25.971</v>
      </c>
      <c r="G191" s="5">
        <v>26.512</v>
      </c>
      <c r="H191" s="5">
        <v>14.654</v>
      </c>
      <c r="I191" s="5">
        <v>16.484</v>
      </c>
      <c r="J191" s="5">
        <v>22.377</v>
      </c>
      <c r="K191" s="5">
        <v>2269501</v>
      </c>
      <c r="L191" s="5">
        <v>2273992</v>
      </c>
      <c r="M191" s="6">
        <f t="shared" si="21"/>
        <v>1.00197884909502</v>
      </c>
      <c r="N191" s="5">
        <v>2323492</v>
      </c>
      <c r="O191" s="6">
        <f t="shared" si="22"/>
        <v>1.02378981106419</v>
      </c>
      <c r="P191" s="5">
        <v>1138500</v>
      </c>
      <c r="Q191" s="1">
        <f t="shared" si="23"/>
        <v>0.501652125290978</v>
      </c>
      <c r="S191" s="4">
        <f t="shared" si="16"/>
        <v>1.46598128681991</v>
      </c>
      <c r="T191" s="4">
        <f t="shared" si="17"/>
        <v>1.43606668678334</v>
      </c>
      <c r="U191" s="4">
        <f t="shared" si="18"/>
        <v>2.59813020335744</v>
      </c>
      <c r="V191" s="4">
        <f t="shared" si="19"/>
        <v>2.3096942489687</v>
      </c>
      <c r="W191" s="4">
        <f t="shared" si="20"/>
        <v>1.70143450864727</v>
      </c>
    </row>
    <row r="192" spans="1:23">
      <c r="A192" s="5" t="s">
        <v>209</v>
      </c>
      <c r="B192" s="5">
        <v>343791</v>
      </c>
      <c r="C192" s="5">
        <v>343791</v>
      </c>
      <c r="D192" s="5">
        <v>26837113</v>
      </c>
      <c r="E192" s="5">
        <v>641.609</v>
      </c>
      <c r="F192" s="5">
        <v>855.148</v>
      </c>
      <c r="G192" s="5">
        <v>528.828</v>
      </c>
      <c r="H192" s="5">
        <v>388.961</v>
      </c>
      <c r="I192" s="5">
        <v>439.549</v>
      </c>
      <c r="J192" s="5">
        <v>426.807</v>
      </c>
      <c r="K192" s="5">
        <v>26837113</v>
      </c>
      <c r="L192" s="5">
        <v>26933660</v>
      </c>
      <c r="M192" s="6">
        <f t="shared" si="21"/>
        <v>1.0035975181086</v>
      </c>
      <c r="N192" s="5">
        <v>34164088</v>
      </c>
      <c r="O192" s="6">
        <f t="shared" si="22"/>
        <v>1.27301651261818</v>
      </c>
      <c r="P192" s="5">
        <v>14241974</v>
      </c>
      <c r="Q192" s="1">
        <f t="shared" si="23"/>
        <v>0.530682044674477</v>
      </c>
      <c r="S192" s="4">
        <f t="shared" si="16"/>
        <v>0.750290008279269</v>
      </c>
      <c r="T192" s="4">
        <f t="shared" si="17"/>
        <v>1.21326593901987</v>
      </c>
      <c r="U192" s="4">
        <f t="shared" si="18"/>
        <v>1.64954584135685</v>
      </c>
      <c r="V192" s="4">
        <f t="shared" si="19"/>
        <v>1.45969846365252</v>
      </c>
      <c r="W192" s="4">
        <f t="shared" si="20"/>
        <v>1.50327665666214</v>
      </c>
    </row>
    <row r="193" spans="1:23">
      <c r="A193" s="5" t="s">
        <v>210</v>
      </c>
      <c r="B193" s="5">
        <v>71505</v>
      </c>
      <c r="C193" s="5">
        <v>71505</v>
      </c>
      <c r="D193" s="5">
        <v>5294285</v>
      </c>
      <c r="E193" s="5">
        <v>104.352</v>
      </c>
      <c r="F193" s="5">
        <v>90.638</v>
      </c>
      <c r="G193" s="5">
        <v>86.943</v>
      </c>
      <c r="H193" s="5">
        <v>57.865</v>
      </c>
      <c r="I193" s="5">
        <v>63.288</v>
      </c>
      <c r="J193" s="5">
        <v>68.923</v>
      </c>
      <c r="K193" s="5">
        <v>5294285</v>
      </c>
      <c r="L193" s="5">
        <v>5318432</v>
      </c>
      <c r="M193" s="6">
        <f t="shared" si="21"/>
        <v>1.00456095582312</v>
      </c>
      <c r="N193" s="5">
        <v>6788264</v>
      </c>
      <c r="O193" s="6">
        <f t="shared" si="22"/>
        <v>1.28218711308515</v>
      </c>
      <c r="P193" s="5">
        <v>2815942</v>
      </c>
      <c r="Q193" s="1">
        <f t="shared" si="23"/>
        <v>0.531883342132129</v>
      </c>
      <c r="S193" s="4">
        <f t="shared" si="16"/>
        <v>1.15130519208279</v>
      </c>
      <c r="T193" s="4">
        <f t="shared" si="17"/>
        <v>1.20023463648597</v>
      </c>
      <c r="U193" s="4">
        <f t="shared" si="18"/>
        <v>1.8033699127279</v>
      </c>
      <c r="V193" s="4">
        <f t="shared" si="19"/>
        <v>1.64884338263178</v>
      </c>
      <c r="W193" s="4">
        <f t="shared" si="20"/>
        <v>1.5140374040596</v>
      </c>
    </row>
    <row r="194" spans="1:23">
      <c r="A194" s="5" t="s">
        <v>211</v>
      </c>
      <c r="B194" s="5">
        <v>10000</v>
      </c>
      <c r="C194" s="5">
        <v>10000</v>
      </c>
      <c r="D194" s="5">
        <v>158304</v>
      </c>
      <c r="E194" s="5">
        <v>2.708</v>
      </c>
      <c r="F194" s="5">
        <v>2.827</v>
      </c>
      <c r="G194" s="5">
        <v>1.879</v>
      </c>
      <c r="H194" s="5">
        <v>4.577</v>
      </c>
      <c r="I194" s="5">
        <v>4.081</v>
      </c>
      <c r="J194" s="5">
        <v>2.712</v>
      </c>
      <c r="K194" s="5">
        <v>158304</v>
      </c>
      <c r="L194" s="5">
        <v>160480</v>
      </c>
      <c r="M194" s="6">
        <f t="shared" si="21"/>
        <v>1.01374570446735</v>
      </c>
      <c r="N194" s="5">
        <v>629536</v>
      </c>
      <c r="O194" s="6">
        <f t="shared" si="22"/>
        <v>3.97675358803315</v>
      </c>
      <c r="P194" s="5">
        <v>167738</v>
      </c>
      <c r="Q194" s="1">
        <f t="shared" si="23"/>
        <v>1.05959419850414</v>
      </c>
      <c r="S194" s="4">
        <f t="shared" ref="S194:S257" si="24">E194/F194</f>
        <v>0.95790590732225</v>
      </c>
      <c r="T194" s="4">
        <f t="shared" ref="T194:T257" si="25">E194/G194</f>
        <v>1.44119212346993</v>
      </c>
      <c r="U194" s="4">
        <f t="shared" ref="U194:U257" si="26">E194/H194</f>
        <v>0.591653921782827</v>
      </c>
      <c r="V194" s="4">
        <f t="shared" ref="V194:V257" si="27">E194/I194</f>
        <v>0.663562852242098</v>
      </c>
      <c r="W194" s="4">
        <f t="shared" ref="W194:W257" si="28">E194/J194</f>
        <v>0.998525073746313</v>
      </c>
    </row>
    <row r="195" spans="1:23">
      <c r="A195" s="5" t="s">
        <v>212</v>
      </c>
      <c r="B195" s="5">
        <v>638802</v>
      </c>
      <c r="C195" s="5">
        <v>638802</v>
      </c>
      <c r="D195" s="5">
        <v>28614564</v>
      </c>
      <c r="E195" s="5">
        <v>611.239</v>
      </c>
      <c r="F195" s="5">
        <v>533.078</v>
      </c>
      <c r="G195" s="5">
        <v>632.554</v>
      </c>
      <c r="H195" s="5">
        <v>402.197</v>
      </c>
      <c r="I195" s="5">
        <v>409.422</v>
      </c>
      <c r="J195" s="5">
        <v>344.921</v>
      </c>
      <c r="K195" s="5">
        <v>28614564</v>
      </c>
      <c r="L195" s="5">
        <v>28671888</v>
      </c>
      <c r="M195" s="6">
        <f t="shared" ref="M195:M258" si="29">L195/K195</f>
        <v>1.00200331551444</v>
      </c>
      <c r="N195" s="5">
        <v>37451640</v>
      </c>
      <c r="O195" s="6">
        <f t="shared" ref="O195:O258" si="30">N195/K195</f>
        <v>1.3088314048748</v>
      </c>
      <c r="P195" s="5">
        <v>15336874</v>
      </c>
      <c r="Q195" s="1">
        <f t="shared" ref="Q195:Q258" si="31">P195/K195</f>
        <v>0.535981397445021</v>
      </c>
      <c r="S195" s="4">
        <f t="shared" si="24"/>
        <v>1.14662207031616</v>
      </c>
      <c r="T195" s="4">
        <f t="shared" si="25"/>
        <v>0.966303272131707</v>
      </c>
      <c r="U195" s="4">
        <f t="shared" si="26"/>
        <v>1.51975027163306</v>
      </c>
      <c r="V195" s="4">
        <f t="shared" si="27"/>
        <v>1.49293149855162</v>
      </c>
      <c r="W195" s="4">
        <f t="shared" si="28"/>
        <v>1.77211303457893</v>
      </c>
    </row>
    <row r="196" spans="1:23">
      <c r="A196" s="5" t="s">
        <v>213</v>
      </c>
      <c r="B196" s="5">
        <v>106437</v>
      </c>
      <c r="C196" s="5">
        <v>106437</v>
      </c>
      <c r="D196" s="5">
        <v>2707179</v>
      </c>
      <c r="E196" s="5">
        <v>58.468</v>
      </c>
      <c r="F196" s="5">
        <v>55.179</v>
      </c>
      <c r="G196" s="5">
        <v>47.912</v>
      </c>
      <c r="H196" s="5">
        <v>70.13</v>
      </c>
      <c r="I196" s="5">
        <v>55.237</v>
      </c>
      <c r="J196" s="5">
        <v>39.41</v>
      </c>
      <c r="K196" s="5">
        <v>2707179</v>
      </c>
      <c r="L196" s="5">
        <v>2730836</v>
      </c>
      <c r="M196" s="6">
        <f t="shared" si="29"/>
        <v>1.00873861684063</v>
      </c>
      <c r="N196" s="5">
        <v>6618836</v>
      </c>
      <c r="O196" s="6">
        <f t="shared" si="30"/>
        <v>2.44491997019776</v>
      </c>
      <c r="P196" s="5">
        <v>1899526</v>
      </c>
      <c r="Q196" s="1">
        <f t="shared" si="31"/>
        <v>0.701662505508502</v>
      </c>
      <c r="S196" s="4">
        <f t="shared" si="24"/>
        <v>1.05960600953261</v>
      </c>
      <c r="T196" s="4">
        <f t="shared" si="25"/>
        <v>1.2203205877442</v>
      </c>
      <c r="U196" s="4">
        <f t="shared" si="26"/>
        <v>0.833708826465136</v>
      </c>
      <c r="V196" s="4">
        <f t="shared" si="27"/>
        <v>1.05849340116226</v>
      </c>
      <c r="W196" s="4">
        <f t="shared" si="28"/>
        <v>1.48358284699315</v>
      </c>
    </row>
    <row r="197" spans="1:23">
      <c r="A197" s="5" t="s">
        <v>214</v>
      </c>
      <c r="B197" s="5">
        <v>74752</v>
      </c>
      <c r="C197" s="5">
        <v>74752</v>
      </c>
      <c r="D197" s="5">
        <v>596992</v>
      </c>
      <c r="E197" s="5">
        <v>11.449</v>
      </c>
      <c r="F197" s="5">
        <v>12.654</v>
      </c>
      <c r="G197" s="5">
        <v>8.357</v>
      </c>
      <c r="H197" s="5">
        <v>15.422</v>
      </c>
      <c r="I197" s="5">
        <v>11.091</v>
      </c>
      <c r="J197" s="5">
        <v>11.353</v>
      </c>
      <c r="K197" s="5">
        <v>596992</v>
      </c>
      <c r="L197" s="5">
        <v>605520</v>
      </c>
      <c r="M197" s="6">
        <f t="shared" si="29"/>
        <v>1.01428494854202</v>
      </c>
      <c r="N197" s="5">
        <v>1710080</v>
      </c>
      <c r="O197" s="6">
        <f t="shared" si="30"/>
        <v>2.86449399656947</v>
      </c>
      <c r="P197" s="5">
        <v>420928</v>
      </c>
      <c r="Q197" s="1">
        <f t="shared" si="31"/>
        <v>0.705081475128645</v>
      </c>
      <c r="S197" s="4">
        <f t="shared" si="24"/>
        <v>0.904773194246878</v>
      </c>
      <c r="T197" s="4">
        <f t="shared" si="25"/>
        <v>1.36998923058514</v>
      </c>
      <c r="U197" s="4">
        <f t="shared" si="26"/>
        <v>0.74238101413565</v>
      </c>
      <c r="V197" s="4">
        <f t="shared" si="27"/>
        <v>1.03227842394734</v>
      </c>
      <c r="W197" s="4">
        <f t="shared" si="28"/>
        <v>1.00845591473619</v>
      </c>
    </row>
    <row r="198" spans="1:23">
      <c r="A198" s="5" t="s">
        <v>215</v>
      </c>
      <c r="B198" s="5">
        <v>1564794</v>
      </c>
      <c r="C198" s="5">
        <v>1564794</v>
      </c>
      <c r="D198" s="5">
        <v>117406044</v>
      </c>
      <c r="E198" s="5">
        <v>2429.29</v>
      </c>
      <c r="F198" s="5">
        <v>2065.51</v>
      </c>
      <c r="G198" s="5">
        <v>2050.98</v>
      </c>
      <c r="H198" s="5">
        <v>1572.25</v>
      </c>
      <c r="I198" s="5">
        <v>1277.44</v>
      </c>
      <c r="J198" s="5">
        <v>1246.52</v>
      </c>
      <c r="K198" s="5">
        <v>117406044</v>
      </c>
      <c r="L198" s="5">
        <v>117558708</v>
      </c>
      <c r="M198" s="6">
        <f t="shared" si="29"/>
        <v>1.00130030784446</v>
      </c>
      <c r="N198" s="5">
        <v>155723988</v>
      </c>
      <c r="O198" s="6">
        <f t="shared" si="30"/>
        <v>1.32637113639567</v>
      </c>
      <c r="P198" s="5">
        <v>60507396</v>
      </c>
      <c r="Q198" s="1">
        <f t="shared" si="31"/>
        <v>0.515368663643926</v>
      </c>
      <c r="S198" s="4">
        <f t="shared" si="24"/>
        <v>1.17612115167683</v>
      </c>
      <c r="T198" s="4">
        <f t="shared" si="25"/>
        <v>1.18445328574633</v>
      </c>
      <c r="U198" s="4">
        <f t="shared" si="26"/>
        <v>1.54510415010336</v>
      </c>
      <c r="V198" s="4">
        <f t="shared" si="27"/>
        <v>1.90168618486974</v>
      </c>
      <c r="W198" s="4">
        <f t="shared" si="28"/>
        <v>1.948857619613</v>
      </c>
    </row>
    <row r="199" spans="1:23">
      <c r="A199" s="5" t="s">
        <v>216</v>
      </c>
      <c r="B199" s="5">
        <v>9669</v>
      </c>
      <c r="C199" s="5">
        <v>9669</v>
      </c>
      <c r="D199" s="5">
        <v>67391</v>
      </c>
      <c r="E199" s="5">
        <v>1.14</v>
      </c>
      <c r="F199" s="5">
        <v>1.314</v>
      </c>
      <c r="G199" s="5">
        <v>0.757</v>
      </c>
      <c r="H199" s="5">
        <v>1.817</v>
      </c>
      <c r="I199" s="5">
        <v>1.652</v>
      </c>
      <c r="J199" s="5">
        <v>1.045</v>
      </c>
      <c r="K199" s="5">
        <v>67391</v>
      </c>
      <c r="L199" s="5">
        <v>67516</v>
      </c>
      <c r="M199" s="6">
        <f t="shared" si="29"/>
        <v>1.00185484708641</v>
      </c>
      <c r="N199" s="5">
        <v>228432</v>
      </c>
      <c r="O199" s="6">
        <f t="shared" si="30"/>
        <v>3.38965143713552</v>
      </c>
      <c r="P199" s="5">
        <v>53612</v>
      </c>
      <c r="Q199" s="1">
        <f t="shared" si="31"/>
        <v>0.795536495971272</v>
      </c>
      <c r="S199" s="4">
        <f t="shared" si="24"/>
        <v>0.867579908675799</v>
      </c>
      <c r="T199" s="4">
        <f t="shared" si="25"/>
        <v>1.50594451783355</v>
      </c>
      <c r="U199" s="4">
        <f t="shared" si="26"/>
        <v>0.627407815079802</v>
      </c>
      <c r="V199" s="4">
        <f t="shared" si="27"/>
        <v>0.690072639225182</v>
      </c>
      <c r="W199" s="4">
        <f t="shared" si="28"/>
        <v>1.09090909090909</v>
      </c>
    </row>
    <row r="200" spans="1:23">
      <c r="A200" s="5" t="s">
        <v>217</v>
      </c>
      <c r="B200" s="5">
        <v>5218</v>
      </c>
      <c r="C200" s="5">
        <v>5218</v>
      </c>
      <c r="D200" s="5">
        <v>40080</v>
      </c>
      <c r="E200" s="5">
        <v>0.693</v>
      </c>
      <c r="F200" s="5">
        <v>0.708</v>
      </c>
      <c r="G200" s="5">
        <v>0.454</v>
      </c>
      <c r="H200" s="5">
        <v>0.815</v>
      </c>
      <c r="I200" s="5">
        <v>0.607</v>
      </c>
      <c r="J200" s="5">
        <v>0.693</v>
      </c>
      <c r="K200" s="5">
        <v>40080</v>
      </c>
      <c r="L200" s="5">
        <v>43324</v>
      </c>
      <c r="M200" s="6">
        <f t="shared" si="29"/>
        <v>1.0809381237525</v>
      </c>
      <c r="N200" s="5">
        <v>98772</v>
      </c>
      <c r="O200" s="6">
        <f t="shared" si="30"/>
        <v>2.46437125748503</v>
      </c>
      <c r="P200" s="5">
        <v>23774</v>
      </c>
      <c r="Q200" s="1">
        <f t="shared" si="31"/>
        <v>0.593163672654691</v>
      </c>
      <c r="S200" s="4">
        <f t="shared" si="24"/>
        <v>0.978813559322034</v>
      </c>
      <c r="T200" s="4">
        <f t="shared" si="25"/>
        <v>1.52643171806167</v>
      </c>
      <c r="U200" s="4">
        <f t="shared" si="26"/>
        <v>0.850306748466258</v>
      </c>
      <c r="V200" s="4">
        <f t="shared" si="27"/>
        <v>1.14168039538715</v>
      </c>
      <c r="W200" s="4">
        <f t="shared" si="28"/>
        <v>1</v>
      </c>
    </row>
    <row r="201" spans="1:23">
      <c r="A201" s="5" t="s">
        <v>218</v>
      </c>
      <c r="B201" s="5">
        <v>5438</v>
      </c>
      <c r="C201" s="5">
        <v>5438</v>
      </c>
      <c r="D201" s="5">
        <v>40054</v>
      </c>
      <c r="E201" s="5">
        <v>0.685</v>
      </c>
      <c r="F201" s="5">
        <v>0.725</v>
      </c>
      <c r="G201" s="5">
        <v>0.454</v>
      </c>
      <c r="H201" s="5">
        <v>0.846</v>
      </c>
      <c r="I201" s="5">
        <v>0.601</v>
      </c>
      <c r="J201" s="5">
        <v>0.676</v>
      </c>
      <c r="K201" s="5">
        <v>40054</v>
      </c>
      <c r="L201" s="5">
        <v>43404</v>
      </c>
      <c r="M201" s="6">
        <f t="shared" si="29"/>
        <v>1.0836370899286</v>
      </c>
      <c r="N201" s="5">
        <v>101656</v>
      </c>
      <c r="O201" s="6">
        <f t="shared" si="30"/>
        <v>2.53797373545713</v>
      </c>
      <c r="P201" s="5">
        <v>23866</v>
      </c>
      <c r="Q201" s="1">
        <f t="shared" si="31"/>
        <v>0.595845608428621</v>
      </c>
      <c r="S201" s="4">
        <f t="shared" si="24"/>
        <v>0.944827586206897</v>
      </c>
      <c r="T201" s="4">
        <f t="shared" si="25"/>
        <v>1.50881057268722</v>
      </c>
      <c r="U201" s="4">
        <f t="shared" si="26"/>
        <v>0.809692671394799</v>
      </c>
      <c r="V201" s="4">
        <f t="shared" si="27"/>
        <v>1.13976705490849</v>
      </c>
      <c r="W201" s="4">
        <f t="shared" si="28"/>
        <v>1.01331360946746</v>
      </c>
    </row>
    <row r="202" spans="1:23">
      <c r="A202" s="5" t="s">
        <v>219</v>
      </c>
      <c r="B202" s="5">
        <v>5578</v>
      </c>
      <c r="C202" s="5">
        <v>5578</v>
      </c>
      <c r="D202" s="5">
        <v>41940</v>
      </c>
      <c r="E202" s="5">
        <v>0.713</v>
      </c>
      <c r="F202" s="5">
        <v>0.734</v>
      </c>
      <c r="G202" s="5">
        <v>0.475</v>
      </c>
      <c r="H202" s="5">
        <v>0.882</v>
      </c>
      <c r="I202" s="5">
        <v>0.651</v>
      </c>
      <c r="J202" s="5">
        <v>0.709</v>
      </c>
      <c r="K202" s="5">
        <v>41940</v>
      </c>
      <c r="L202" s="5">
        <v>45372</v>
      </c>
      <c r="M202" s="6">
        <f t="shared" si="29"/>
        <v>1.08183118741059</v>
      </c>
      <c r="N202" s="5">
        <v>105684</v>
      </c>
      <c r="O202" s="6">
        <f t="shared" si="30"/>
        <v>2.51988555078684</v>
      </c>
      <c r="P202" s="5">
        <v>24968</v>
      </c>
      <c r="Q202" s="1">
        <f t="shared" si="31"/>
        <v>0.595326657129232</v>
      </c>
      <c r="S202" s="4">
        <f t="shared" si="24"/>
        <v>0.971389645776567</v>
      </c>
      <c r="T202" s="4">
        <f t="shared" si="25"/>
        <v>1.50105263157895</v>
      </c>
      <c r="U202" s="4">
        <f t="shared" si="26"/>
        <v>0.808390022675737</v>
      </c>
      <c r="V202" s="4">
        <f t="shared" si="27"/>
        <v>1.0952380952381</v>
      </c>
      <c r="W202" s="4">
        <f t="shared" si="28"/>
        <v>1.00564174894217</v>
      </c>
    </row>
    <row r="203" spans="1:23">
      <c r="A203" s="5" t="s">
        <v>220</v>
      </c>
      <c r="B203" s="5">
        <v>5718</v>
      </c>
      <c r="C203" s="5">
        <v>5718</v>
      </c>
      <c r="D203" s="5">
        <v>43994</v>
      </c>
      <c r="E203" s="5">
        <v>0.739</v>
      </c>
      <c r="F203" s="5">
        <v>0.754</v>
      </c>
      <c r="G203" s="5">
        <v>0.494</v>
      </c>
      <c r="H203" s="5">
        <v>0.912</v>
      </c>
      <c r="I203" s="5">
        <v>0.672</v>
      </c>
      <c r="J203" s="5">
        <v>0.747</v>
      </c>
      <c r="K203" s="5">
        <v>43994</v>
      </c>
      <c r="L203" s="5">
        <v>47576</v>
      </c>
      <c r="M203" s="6">
        <f t="shared" si="29"/>
        <v>1.08142019366277</v>
      </c>
      <c r="N203" s="5">
        <v>108800</v>
      </c>
      <c r="O203" s="6">
        <f t="shared" si="30"/>
        <v>2.47306450879665</v>
      </c>
      <c r="P203" s="5">
        <v>26038</v>
      </c>
      <c r="Q203" s="1">
        <f t="shared" si="31"/>
        <v>0.591853434559258</v>
      </c>
      <c r="S203" s="4">
        <f t="shared" si="24"/>
        <v>0.980106100795756</v>
      </c>
      <c r="T203" s="4">
        <f t="shared" si="25"/>
        <v>1.49595141700405</v>
      </c>
      <c r="U203" s="4">
        <f t="shared" si="26"/>
        <v>0.81030701754386</v>
      </c>
      <c r="V203" s="4">
        <f t="shared" si="27"/>
        <v>1.09970238095238</v>
      </c>
      <c r="W203" s="4">
        <f t="shared" si="28"/>
        <v>0.989290495314592</v>
      </c>
    </row>
    <row r="204" spans="1:23">
      <c r="A204" s="5" t="s">
        <v>221</v>
      </c>
      <c r="B204" s="5">
        <v>5958</v>
      </c>
      <c r="C204" s="5">
        <v>5958</v>
      </c>
      <c r="D204" s="5">
        <v>43298</v>
      </c>
      <c r="E204" s="5">
        <v>0.733</v>
      </c>
      <c r="F204" s="5">
        <v>0.766</v>
      </c>
      <c r="G204" s="5">
        <v>0.499</v>
      </c>
      <c r="H204" s="5">
        <v>0.925</v>
      </c>
      <c r="I204" s="5">
        <v>0.665</v>
      </c>
      <c r="J204" s="5">
        <v>0.731</v>
      </c>
      <c r="K204" s="5">
        <v>43298</v>
      </c>
      <c r="L204" s="5">
        <v>46988</v>
      </c>
      <c r="M204" s="6">
        <f t="shared" si="29"/>
        <v>1.08522333595085</v>
      </c>
      <c r="N204" s="5">
        <v>111248</v>
      </c>
      <c r="O204" s="6">
        <f t="shared" si="30"/>
        <v>2.56935655226569</v>
      </c>
      <c r="P204" s="5">
        <v>25858</v>
      </c>
      <c r="Q204" s="1">
        <f t="shared" si="31"/>
        <v>0.597210032795972</v>
      </c>
      <c r="S204" s="4">
        <f t="shared" si="24"/>
        <v>0.956919060052219</v>
      </c>
      <c r="T204" s="4">
        <f t="shared" si="25"/>
        <v>1.4689378757515</v>
      </c>
      <c r="U204" s="4">
        <f t="shared" si="26"/>
        <v>0.792432432432432</v>
      </c>
      <c r="V204" s="4">
        <f t="shared" si="27"/>
        <v>1.10225563909774</v>
      </c>
      <c r="W204" s="4">
        <f t="shared" si="28"/>
        <v>1.00273597811218</v>
      </c>
    </row>
    <row r="205" spans="1:23">
      <c r="A205" s="5" t="s">
        <v>222</v>
      </c>
      <c r="B205" s="5">
        <v>6038</v>
      </c>
      <c r="C205" s="5">
        <v>6038</v>
      </c>
      <c r="D205" s="5">
        <v>43378</v>
      </c>
      <c r="E205" s="5">
        <v>0.734</v>
      </c>
      <c r="F205" s="5">
        <v>0.766</v>
      </c>
      <c r="G205" s="5">
        <v>0.516</v>
      </c>
      <c r="H205" s="5">
        <v>0.931</v>
      </c>
      <c r="I205" s="5">
        <v>0.671</v>
      </c>
      <c r="J205" s="5">
        <v>0.722</v>
      </c>
      <c r="K205" s="5">
        <v>43378</v>
      </c>
      <c r="L205" s="5">
        <v>47152</v>
      </c>
      <c r="M205" s="6">
        <f t="shared" si="29"/>
        <v>1.08700262806031</v>
      </c>
      <c r="N205" s="5">
        <v>112240</v>
      </c>
      <c r="O205" s="6">
        <f t="shared" si="30"/>
        <v>2.58748674443266</v>
      </c>
      <c r="P205" s="5">
        <v>25972</v>
      </c>
      <c r="Q205" s="1">
        <f t="shared" si="31"/>
        <v>0.59873668679976</v>
      </c>
      <c r="S205" s="4">
        <f t="shared" si="24"/>
        <v>0.95822454308094</v>
      </c>
      <c r="T205" s="4">
        <f t="shared" si="25"/>
        <v>1.42248062015504</v>
      </c>
      <c r="U205" s="4">
        <f t="shared" si="26"/>
        <v>0.788399570354458</v>
      </c>
      <c r="V205" s="4">
        <f t="shared" si="27"/>
        <v>1.09388971684054</v>
      </c>
      <c r="W205" s="4">
        <f t="shared" si="28"/>
        <v>1.01662049861496</v>
      </c>
    </row>
    <row r="206" spans="1:23">
      <c r="A206" s="5" t="s">
        <v>223</v>
      </c>
      <c r="B206" s="5">
        <v>6078</v>
      </c>
      <c r="C206" s="5">
        <v>6078</v>
      </c>
      <c r="D206" s="5">
        <v>44006</v>
      </c>
      <c r="E206" s="5">
        <v>0.754</v>
      </c>
      <c r="F206" s="5">
        <v>0.779</v>
      </c>
      <c r="G206" s="5">
        <v>0.536</v>
      </c>
      <c r="H206" s="5">
        <v>0.984</v>
      </c>
      <c r="I206" s="5">
        <v>0.678</v>
      </c>
      <c r="J206" s="5">
        <v>0.747</v>
      </c>
      <c r="K206" s="5">
        <v>44006</v>
      </c>
      <c r="L206" s="5">
        <v>47812</v>
      </c>
      <c r="M206" s="6">
        <f t="shared" si="29"/>
        <v>1.08648820615371</v>
      </c>
      <c r="N206" s="5">
        <v>113096</v>
      </c>
      <c r="O206" s="6">
        <f t="shared" si="30"/>
        <v>2.57001318002091</v>
      </c>
      <c r="P206" s="5">
        <v>26296</v>
      </c>
      <c r="Q206" s="1">
        <f t="shared" si="31"/>
        <v>0.597554878880153</v>
      </c>
      <c r="S206" s="4">
        <f t="shared" si="24"/>
        <v>0.96790757381258</v>
      </c>
      <c r="T206" s="4">
        <f t="shared" si="25"/>
        <v>1.40671641791045</v>
      </c>
      <c r="U206" s="4">
        <f t="shared" si="26"/>
        <v>0.766260162601626</v>
      </c>
      <c r="V206" s="4">
        <f t="shared" si="27"/>
        <v>1.11209439528024</v>
      </c>
      <c r="W206" s="4">
        <f t="shared" si="28"/>
        <v>1.00937081659973</v>
      </c>
    </row>
    <row r="207" spans="1:23">
      <c r="A207" s="5" t="s">
        <v>224</v>
      </c>
      <c r="B207" s="5">
        <v>3358</v>
      </c>
      <c r="C207" s="5">
        <v>3358</v>
      </c>
      <c r="D207" s="5">
        <v>27030</v>
      </c>
      <c r="E207" s="5">
        <v>0.439</v>
      </c>
      <c r="F207" s="5">
        <v>0.455</v>
      </c>
      <c r="G207" s="5">
        <v>0.291</v>
      </c>
      <c r="H207" s="5">
        <v>0.513</v>
      </c>
      <c r="I207" s="5">
        <v>0.419</v>
      </c>
      <c r="J207" s="5">
        <v>0.472</v>
      </c>
      <c r="K207" s="5">
        <v>27030</v>
      </c>
      <c r="L207" s="5">
        <v>29112</v>
      </c>
      <c r="M207" s="6">
        <f t="shared" si="29"/>
        <v>1.07702552719201</v>
      </c>
      <c r="N207" s="5">
        <v>65040</v>
      </c>
      <c r="O207" s="6">
        <f t="shared" si="30"/>
        <v>2.4062153163152</v>
      </c>
      <c r="P207" s="5">
        <v>15946</v>
      </c>
      <c r="Q207" s="1">
        <f t="shared" si="31"/>
        <v>0.589937106918239</v>
      </c>
      <c r="S207" s="4">
        <f t="shared" si="24"/>
        <v>0.964835164835165</v>
      </c>
      <c r="T207" s="4">
        <f t="shared" si="25"/>
        <v>1.5085910652921</v>
      </c>
      <c r="U207" s="4">
        <f t="shared" si="26"/>
        <v>0.855750487329435</v>
      </c>
      <c r="V207" s="4">
        <f t="shared" si="27"/>
        <v>1.04773269689737</v>
      </c>
      <c r="W207" s="4">
        <f t="shared" si="28"/>
        <v>0.930084745762712</v>
      </c>
    </row>
    <row r="208" spans="1:23">
      <c r="A208" s="5" t="s">
        <v>225</v>
      </c>
      <c r="B208" s="5">
        <v>3918</v>
      </c>
      <c r="C208" s="5">
        <v>3918</v>
      </c>
      <c r="D208" s="5">
        <v>31046</v>
      </c>
      <c r="E208" s="5">
        <v>0.51</v>
      </c>
      <c r="F208" s="5">
        <v>0.524</v>
      </c>
      <c r="G208" s="5">
        <v>0.34</v>
      </c>
      <c r="H208" s="5">
        <v>0.612</v>
      </c>
      <c r="I208" s="5">
        <v>0.473</v>
      </c>
      <c r="J208" s="5">
        <v>0.538</v>
      </c>
      <c r="K208" s="5">
        <v>31046</v>
      </c>
      <c r="L208" s="5">
        <v>33480</v>
      </c>
      <c r="M208" s="6">
        <f t="shared" si="29"/>
        <v>1.07839979385428</v>
      </c>
      <c r="N208" s="5">
        <v>75224</v>
      </c>
      <c r="O208" s="6">
        <f t="shared" si="30"/>
        <v>2.42298524769697</v>
      </c>
      <c r="P208" s="5">
        <v>18322</v>
      </c>
      <c r="Q208" s="1">
        <f t="shared" si="31"/>
        <v>0.590156541905559</v>
      </c>
      <c r="S208" s="4">
        <f t="shared" si="24"/>
        <v>0.973282442748092</v>
      </c>
      <c r="T208" s="4">
        <f t="shared" si="25"/>
        <v>1.5</v>
      </c>
      <c r="U208" s="4">
        <f t="shared" si="26"/>
        <v>0.833333333333333</v>
      </c>
      <c r="V208" s="4">
        <f t="shared" si="27"/>
        <v>1.07822410147992</v>
      </c>
      <c r="W208" s="4">
        <f t="shared" si="28"/>
        <v>0.947955390334572</v>
      </c>
    </row>
    <row r="209" spans="1:23">
      <c r="A209" s="5" t="s">
        <v>226</v>
      </c>
      <c r="B209" s="5">
        <v>4398</v>
      </c>
      <c r="C209" s="5">
        <v>4398</v>
      </c>
      <c r="D209" s="5">
        <v>34958</v>
      </c>
      <c r="E209" s="5">
        <v>0.587</v>
      </c>
      <c r="F209" s="5">
        <v>0.61</v>
      </c>
      <c r="G209" s="5">
        <v>0.397</v>
      </c>
      <c r="H209" s="5">
        <v>0.696</v>
      </c>
      <c r="I209" s="5">
        <v>0.568</v>
      </c>
      <c r="J209" s="5">
        <v>0.605</v>
      </c>
      <c r="K209" s="5">
        <v>34958</v>
      </c>
      <c r="L209" s="5">
        <v>37696</v>
      </c>
      <c r="M209" s="6">
        <f t="shared" si="29"/>
        <v>1.07832255849877</v>
      </c>
      <c r="N209" s="5">
        <v>85880</v>
      </c>
      <c r="O209" s="6">
        <f t="shared" si="30"/>
        <v>2.45666228045083</v>
      </c>
      <c r="P209" s="5">
        <v>20674</v>
      </c>
      <c r="Q209" s="1">
        <f t="shared" si="31"/>
        <v>0.591395388752217</v>
      </c>
      <c r="S209" s="4">
        <f t="shared" si="24"/>
        <v>0.962295081967213</v>
      </c>
      <c r="T209" s="4">
        <f t="shared" si="25"/>
        <v>1.47858942065491</v>
      </c>
      <c r="U209" s="4">
        <f t="shared" si="26"/>
        <v>0.843390804597701</v>
      </c>
      <c r="V209" s="4">
        <f t="shared" si="27"/>
        <v>1.03345070422535</v>
      </c>
      <c r="W209" s="4">
        <f t="shared" si="28"/>
        <v>0.970247933884298</v>
      </c>
    </row>
    <row r="210" spans="1:23">
      <c r="A210" s="5" t="s">
        <v>227</v>
      </c>
      <c r="B210" s="5">
        <v>4778</v>
      </c>
      <c r="C210" s="5">
        <v>4778</v>
      </c>
      <c r="D210" s="5">
        <v>39964</v>
      </c>
      <c r="E210" s="5">
        <v>0.685</v>
      </c>
      <c r="F210" s="5">
        <v>0.682</v>
      </c>
      <c r="G210" s="5">
        <v>0.449</v>
      </c>
      <c r="H210" s="5">
        <v>0.76</v>
      </c>
      <c r="I210" s="5">
        <v>0.595</v>
      </c>
      <c r="J210" s="5">
        <v>0.694</v>
      </c>
      <c r="K210" s="5">
        <v>39964</v>
      </c>
      <c r="L210" s="5">
        <v>42904</v>
      </c>
      <c r="M210" s="6">
        <f t="shared" si="29"/>
        <v>1.07356620958863</v>
      </c>
      <c r="N210" s="5">
        <v>94420</v>
      </c>
      <c r="O210" s="6">
        <f t="shared" si="30"/>
        <v>2.36262636372735</v>
      </c>
      <c r="P210" s="5">
        <v>23408</v>
      </c>
      <c r="Q210" s="1">
        <f t="shared" si="31"/>
        <v>0.585727154438995</v>
      </c>
      <c r="S210" s="4">
        <f t="shared" si="24"/>
        <v>1.00439882697947</v>
      </c>
      <c r="T210" s="4">
        <f t="shared" si="25"/>
        <v>1.52561247216036</v>
      </c>
      <c r="U210" s="4">
        <f t="shared" si="26"/>
        <v>0.901315789473684</v>
      </c>
      <c r="V210" s="4">
        <f t="shared" si="27"/>
        <v>1.15126050420168</v>
      </c>
      <c r="W210" s="4">
        <f t="shared" si="28"/>
        <v>0.987031700288185</v>
      </c>
    </row>
    <row r="211" spans="1:23">
      <c r="A211" s="5" t="s">
        <v>228</v>
      </c>
      <c r="B211" s="5">
        <v>9604</v>
      </c>
      <c r="C211" s="5">
        <v>9604</v>
      </c>
      <c r="D211" s="5">
        <v>85264</v>
      </c>
      <c r="E211" s="5">
        <v>1.353</v>
      </c>
      <c r="F211" s="5">
        <v>1.526</v>
      </c>
      <c r="G211" s="5">
        <v>1.243</v>
      </c>
      <c r="H211" s="5">
        <v>0.968</v>
      </c>
      <c r="I211" s="5">
        <v>1.25</v>
      </c>
      <c r="J211" s="5">
        <v>1.385</v>
      </c>
      <c r="K211" s="5">
        <v>85264</v>
      </c>
      <c r="L211" s="5">
        <v>85368</v>
      </c>
      <c r="M211" s="6">
        <f t="shared" si="29"/>
        <v>1.00121974103959</v>
      </c>
      <c r="N211" s="5">
        <v>114464</v>
      </c>
      <c r="O211" s="6">
        <f t="shared" si="30"/>
        <v>1.34246575342466</v>
      </c>
      <c r="P211" s="5">
        <v>47726</v>
      </c>
      <c r="Q211" s="1">
        <f t="shared" si="31"/>
        <v>0.559743854381685</v>
      </c>
      <c r="S211" s="4">
        <f t="shared" si="24"/>
        <v>0.886631716906946</v>
      </c>
      <c r="T211" s="4">
        <f t="shared" si="25"/>
        <v>1.08849557522124</v>
      </c>
      <c r="U211" s="4">
        <f t="shared" si="26"/>
        <v>1.39772727272727</v>
      </c>
      <c r="V211" s="4">
        <f t="shared" si="27"/>
        <v>1.0824</v>
      </c>
      <c r="W211" s="4">
        <f t="shared" si="28"/>
        <v>0.976895306859206</v>
      </c>
    </row>
    <row r="212" spans="1:23">
      <c r="A212" s="5" t="s">
        <v>229</v>
      </c>
      <c r="B212" s="5">
        <v>9801</v>
      </c>
      <c r="C212" s="5">
        <v>9801</v>
      </c>
      <c r="D212" s="5">
        <v>87025</v>
      </c>
      <c r="E212" s="5">
        <v>1.343</v>
      </c>
      <c r="F212" s="5">
        <v>1.495</v>
      </c>
      <c r="G212" s="5">
        <v>0.951</v>
      </c>
      <c r="H212" s="5">
        <v>0.985</v>
      </c>
      <c r="I212" s="5">
        <v>1.223</v>
      </c>
      <c r="J212" s="5">
        <v>1.328</v>
      </c>
      <c r="K212" s="5">
        <v>87025</v>
      </c>
      <c r="L212" s="5">
        <v>87120</v>
      </c>
      <c r="M212" s="6">
        <f t="shared" si="29"/>
        <v>1.00109164033324</v>
      </c>
      <c r="N212" s="5">
        <v>116820</v>
      </c>
      <c r="O212" s="6">
        <f t="shared" si="30"/>
        <v>1.34237288135593</v>
      </c>
      <c r="P212" s="5">
        <v>48608</v>
      </c>
      <c r="Q212" s="1">
        <f t="shared" si="31"/>
        <v>0.558552140189601</v>
      </c>
      <c r="S212" s="4">
        <f t="shared" si="24"/>
        <v>0.898327759197324</v>
      </c>
      <c r="T212" s="4">
        <f t="shared" si="25"/>
        <v>1.41219768664564</v>
      </c>
      <c r="U212" s="4">
        <f t="shared" si="26"/>
        <v>1.36345177664975</v>
      </c>
      <c r="V212" s="4">
        <f t="shared" si="27"/>
        <v>1.09811937857727</v>
      </c>
      <c r="W212" s="4">
        <f t="shared" si="28"/>
        <v>1.01129518072289</v>
      </c>
    </row>
    <row r="213" spans="1:23">
      <c r="A213" s="5" t="s">
        <v>230</v>
      </c>
      <c r="B213" s="5">
        <v>9801</v>
      </c>
      <c r="C213" s="5">
        <v>9801</v>
      </c>
      <c r="D213" s="5">
        <v>87025</v>
      </c>
      <c r="E213" s="5">
        <v>1.344</v>
      </c>
      <c r="F213" s="5">
        <v>1.497</v>
      </c>
      <c r="G213" s="5">
        <v>0.954</v>
      </c>
      <c r="H213" s="5">
        <v>0.981</v>
      </c>
      <c r="I213" s="5">
        <v>1.204</v>
      </c>
      <c r="J213" s="5">
        <v>1.327</v>
      </c>
      <c r="K213" s="5">
        <v>87025</v>
      </c>
      <c r="L213" s="5">
        <v>87120</v>
      </c>
      <c r="M213" s="6">
        <f t="shared" si="29"/>
        <v>1.00109164033324</v>
      </c>
      <c r="N213" s="5">
        <v>116820</v>
      </c>
      <c r="O213" s="6">
        <f t="shared" si="30"/>
        <v>1.34237288135593</v>
      </c>
      <c r="P213" s="5">
        <v>48608</v>
      </c>
      <c r="Q213" s="1">
        <f t="shared" si="31"/>
        <v>0.558552140189601</v>
      </c>
      <c r="S213" s="4">
        <f t="shared" si="24"/>
        <v>0.897795591182365</v>
      </c>
      <c r="T213" s="4">
        <f t="shared" si="25"/>
        <v>1.40880503144654</v>
      </c>
      <c r="U213" s="4">
        <f t="shared" si="26"/>
        <v>1.37003058103976</v>
      </c>
      <c r="V213" s="4">
        <f t="shared" si="27"/>
        <v>1.11627906976744</v>
      </c>
      <c r="W213" s="4">
        <f t="shared" si="28"/>
        <v>1.01281085154484</v>
      </c>
    </row>
    <row r="214" spans="1:23">
      <c r="A214" s="5" t="s">
        <v>231</v>
      </c>
      <c r="B214" s="5">
        <v>150102</v>
      </c>
      <c r="C214" s="5">
        <v>150102</v>
      </c>
      <c r="D214" s="5">
        <v>726674</v>
      </c>
      <c r="E214" s="5">
        <v>14.831</v>
      </c>
      <c r="F214" s="5">
        <v>18.214</v>
      </c>
      <c r="G214" s="5">
        <v>10.884</v>
      </c>
      <c r="H214" s="5">
        <v>20.1</v>
      </c>
      <c r="I214" s="5">
        <v>20.068</v>
      </c>
      <c r="J214" s="5">
        <v>17.181</v>
      </c>
      <c r="K214" s="5">
        <v>726674</v>
      </c>
      <c r="L214" s="5">
        <v>727508</v>
      </c>
      <c r="M214" s="6">
        <f t="shared" si="29"/>
        <v>1.00114769483978</v>
      </c>
      <c r="N214" s="5">
        <v>1717560</v>
      </c>
      <c r="O214" s="6">
        <f t="shared" si="30"/>
        <v>2.36359082614763</v>
      </c>
      <c r="P214" s="5">
        <v>472726</v>
      </c>
      <c r="Q214" s="1">
        <f t="shared" si="31"/>
        <v>0.650533801952457</v>
      </c>
      <c r="S214" s="4">
        <f t="shared" si="24"/>
        <v>0.814263753156912</v>
      </c>
      <c r="T214" s="4">
        <f t="shared" si="25"/>
        <v>1.36264241087835</v>
      </c>
      <c r="U214" s="4">
        <f t="shared" si="26"/>
        <v>0.737860696517413</v>
      </c>
      <c r="V214" s="4">
        <f t="shared" si="27"/>
        <v>0.739037273270879</v>
      </c>
      <c r="W214" s="4">
        <f t="shared" si="28"/>
        <v>0.863220999941796</v>
      </c>
    </row>
    <row r="215" spans="1:23">
      <c r="A215" s="5" t="s">
        <v>232</v>
      </c>
      <c r="B215" s="5">
        <v>1585478</v>
      </c>
      <c r="C215" s="5">
        <v>1585478</v>
      </c>
      <c r="D215" s="5">
        <v>7660826</v>
      </c>
      <c r="E215" s="5">
        <v>205.459</v>
      </c>
      <c r="F215" s="5">
        <v>241.205</v>
      </c>
      <c r="G215" s="5">
        <v>190.503</v>
      </c>
      <c r="H215" s="5">
        <v>297.827</v>
      </c>
      <c r="I215" s="5">
        <v>256.095</v>
      </c>
      <c r="J215" s="5">
        <v>156.766</v>
      </c>
      <c r="K215" s="5">
        <v>7660826</v>
      </c>
      <c r="L215" s="5">
        <v>7667568</v>
      </c>
      <c r="M215" s="6">
        <f t="shared" si="29"/>
        <v>1.00088006175835</v>
      </c>
      <c r="N215" s="5">
        <v>18050696</v>
      </c>
      <c r="O215" s="6">
        <f t="shared" si="30"/>
        <v>2.35623364895639</v>
      </c>
      <c r="P215" s="5">
        <v>5025704</v>
      </c>
      <c r="Q215" s="1">
        <f t="shared" si="31"/>
        <v>0.65602638671078</v>
      </c>
      <c r="S215" s="4">
        <f t="shared" si="24"/>
        <v>0.851802408739454</v>
      </c>
      <c r="T215" s="4">
        <f t="shared" si="25"/>
        <v>1.07850795000604</v>
      </c>
      <c r="U215" s="4">
        <f t="shared" si="26"/>
        <v>0.689860220866476</v>
      </c>
      <c r="V215" s="4">
        <f t="shared" si="27"/>
        <v>0.802276498955466</v>
      </c>
      <c r="W215" s="4">
        <f t="shared" si="28"/>
        <v>1.3106094433742</v>
      </c>
    </row>
    <row r="216" spans="1:23">
      <c r="A216" s="5" t="s">
        <v>233</v>
      </c>
      <c r="B216" s="5">
        <v>113081</v>
      </c>
      <c r="C216" s="5">
        <v>113081</v>
      </c>
      <c r="D216" s="5">
        <v>6115633</v>
      </c>
      <c r="E216" s="5">
        <v>154.743</v>
      </c>
      <c r="F216" s="5">
        <v>191.943</v>
      </c>
      <c r="G216" s="5">
        <v>114.192</v>
      </c>
      <c r="H216" s="5">
        <v>145.884</v>
      </c>
      <c r="I216" s="5">
        <v>78.354</v>
      </c>
      <c r="J216" s="5">
        <v>75.288</v>
      </c>
      <c r="K216" s="5">
        <v>6115633</v>
      </c>
      <c r="L216" s="5">
        <v>6205156</v>
      </c>
      <c r="M216" s="6">
        <f t="shared" si="29"/>
        <v>1.01463838657421</v>
      </c>
      <c r="N216" s="5">
        <v>13848436</v>
      </c>
      <c r="O216" s="6">
        <f t="shared" si="30"/>
        <v>2.26443215281231</v>
      </c>
      <c r="P216" s="5">
        <v>3740902</v>
      </c>
      <c r="Q216" s="1">
        <f t="shared" si="31"/>
        <v>0.611694979080661</v>
      </c>
      <c r="S216" s="4">
        <f t="shared" si="24"/>
        <v>0.806192463387568</v>
      </c>
      <c r="T216" s="4">
        <f t="shared" si="25"/>
        <v>1.35511244220261</v>
      </c>
      <c r="U216" s="4">
        <f t="shared" si="26"/>
        <v>1.06072633050917</v>
      </c>
      <c r="V216" s="4">
        <f t="shared" si="27"/>
        <v>1.97492151006968</v>
      </c>
      <c r="W216" s="4">
        <f t="shared" si="28"/>
        <v>2.05534746573159</v>
      </c>
    </row>
    <row r="217" spans="1:23">
      <c r="A217" s="5" t="s">
        <v>234</v>
      </c>
      <c r="B217" s="5">
        <v>133123</v>
      </c>
      <c r="C217" s="5">
        <v>133123</v>
      </c>
      <c r="D217" s="5">
        <v>8884839</v>
      </c>
      <c r="E217" s="5">
        <v>173.79</v>
      </c>
      <c r="F217" s="5">
        <v>145.985</v>
      </c>
      <c r="G217" s="5">
        <v>139.785</v>
      </c>
      <c r="H217" s="5">
        <v>258.683</v>
      </c>
      <c r="I217" s="5">
        <v>99.913</v>
      </c>
      <c r="J217" s="5">
        <v>103.657</v>
      </c>
      <c r="K217" s="5">
        <v>8884839</v>
      </c>
      <c r="L217" s="5">
        <v>9012812</v>
      </c>
      <c r="M217" s="6">
        <f t="shared" si="29"/>
        <v>1.014403524926</v>
      </c>
      <c r="N217" s="5">
        <v>18148984</v>
      </c>
      <c r="O217" s="6">
        <f t="shared" si="30"/>
        <v>2.04269137572442</v>
      </c>
      <c r="P217" s="5">
        <v>5239924</v>
      </c>
      <c r="Q217" s="1">
        <f t="shared" si="31"/>
        <v>0.589760152097297</v>
      </c>
      <c r="S217" s="4">
        <f t="shared" si="24"/>
        <v>1.19046477377813</v>
      </c>
      <c r="T217" s="4">
        <f t="shared" si="25"/>
        <v>1.24326644489752</v>
      </c>
      <c r="U217" s="4">
        <f t="shared" si="26"/>
        <v>0.671826134689949</v>
      </c>
      <c r="V217" s="4">
        <f t="shared" si="27"/>
        <v>1.73941328956192</v>
      </c>
      <c r="W217" s="4">
        <f t="shared" si="28"/>
        <v>1.67658720588093</v>
      </c>
    </row>
    <row r="218" spans="1:23">
      <c r="A218" s="5" t="s">
        <v>235</v>
      </c>
      <c r="B218" s="5">
        <v>61349</v>
      </c>
      <c r="C218" s="5">
        <v>61349</v>
      </c>
      <c r="D218" s="5">
        <v>5970947</v>
      </c>
      <c r="E218" s="5">
        <v>178.444</v>
      </c>
      <c r="F218" s="5">
        <v>166.428</v>
      </c>
      <c r="G218" s="5">
        <v>101.945</v>
      </c>
      <c r="H218" s="5">
        <v>91.964</v>
      </c>
      <c r="I218" s="5">
        <v>57.352</v>
      </c>
      <c r="J218" s="5">
        <v>66.679</v>
      </c>
      <c r="K218" s="5">
        <v>5970947</v>
      </c>
      <c r="L218" s="5">
        <v>6080760</v>
      </c>
      <c r="M218" s="6">
        <f t="shared" si="29"/>
        <v>1.0183912200192</v>
      </c>
      <c r="N218" s="5">
        <v>10656736</v>
      </c>
      <c r="O218" s="6">
        <f t="shared" si="30"/>
        <v>1.78476479526614</v>
      </c>
      <c r="P218" s="5">
        <v>3369340</v>
      </c>
      <c r="Q218" s="1">
        <f t="shared" si="31"/>
        <v>0.564289048286645</v>
      </c>
      <c r="S218" s="4">
        <f t="shared" si="24"/>
        <v>1.0721993895258</v>
      </c>
      <c r="T218" s="4">
        <f t="shared" si="25"/>
        <v>1.75039482073667</v>
      </c>
      <c r="U218" s="4">
        <f t="shared" si="26"/>
        <v>1.94036797007525</v>
      </c>
      <c r="V218" s="4">
        <f t="shared" si="27"/>
        <v>3.11138234063328</v>
      </c>
      <c r="W218" s="4">
        <f t="shared" si="28"/>
        <v>2.67616490949174</v>
      </c>
    </row>
    <row r="219" spans="1:23">
      <c r="A219" s="5" t="s">
        <v>236</v>
      </c>
      <c r="B219" s="5">
        <v>268096</v>
      </c>
      <c r="C219" s="5">
        <v>268096</v>
      </c>
      <c r="D219" s="5">
        <v>18488476</v>
      </c>
      <c r="E219" s="5">
        <v>370.649</v>
      </c>
      <c r="F219" s="5">
        <v>310.04</v>
      </c>
      <c r="G219" s="5">
        <v>287.449</v>
      </c>
      <c r="H219" s="5">
        <v>346.12</v>
      </c>
      <c r="I219" s="5">
        <v>222.015</v>
      </c>
      <c r="J219" s="5">
        <v>220.559</v>
      </c>
      <c r="K219" s="5">
        <v>18488476</v>
      </c>
      <c r="L219" s="5">
        <v>18739548</v>
      </c>
      <c r="M219" s="6">
        <f t="shared" si="29"/>
        <v>1.0135799186477</v>
      </c>
      <c r="N219" s="5">
        <v>38134768</v>
      </c>
      <c r="O219" s="6">
        <f t="shared" si="30"/>
        <v>2.06262365811006</v>
      </c>
      <c r="P219" s="5">
        <v>10892200</v>
      </c>
      <c r="Q219" s="1">
        <f t="shared" si="31"/>
        <v>0.589134550624941</v>
      </c>
      <c r="S219" s="4">
        <f t="shared" si="24"/>
        <v>1.19548767900916</v>
      </c>
      <c r="T219" s="4">
        <f t="shared" si="25"/>
        <v>1.28944264895686</v>
      </c>
      <c r="U219" s="4">
        <f t="shared" si="26"/>
        <v>1.07086848491853</v>
      </c>
      <c r="V219" s="4">
        <f t="shared" si="27"/>
        <v>1.66947728757066</v>
      </c>
      <c r="W219" s="4">
        <f t="shared" si="28"/>
        <v>1.68049818869327</v>
      </c>
    </row>
    <row r="220" spans="1:23">
      <c r="A220" s="5" t="s">
        <v>237</v>
      </c>
      <c r="B220" s="5">
        <v>61349</v>
      </c>
      <c r="C220" s="5">
        <v>61349</v>
      </c>
      <c r="D220" s="5">
        <v>3381809</v>
      </c>
      <c r="E220" s="5">
        <v>61.624</v>
      </c>
      <c r="F220" s="5">
        <v>48.164</v>
      </c>
      <c r="G220" s="5">
        <v>46.353</v>
      </c>
      <c r="H220" s="5">
        <v>72.931</v>
      </c>
      <c r="I220" s="5">
        <v>37.057</v>
      </c>
      <c r="J220" s="5">
        <v>40.376</v>
      </c>
      <c r="K220" s="5">
        <v>3381809</v>
      </c>
      <c r="L220" s="5">
        <v>3429836</v>
      </c>
      <c r="M220" s="6">
        <f t="shared" si="29"/>
        <v>1.01420157081609</v>
      </c>
      <c r="N220" s="5">
        <v>7611800</v>
      </c>
      <c r="O220" s="6">
        <f t="shared" si="30"/>
        <v>2.25080718633134</v>
      </c>
      <c r="P220" s="5">
        <v>2068036</v>
      </c>
      <c r="Q220" s="1">
        <f t="shared" si="31"/>
        <v>0.61151768180876</v>
      </c>
      <c r="S220" s="4">
        <f t="shared" si="24"/>
        <v>1.27946183871771</v>
      </c>
      <c r="T220" s="4">
        <f t="shared" si="25"/>
        <v>1.32945008953034</v>
      </c>
      <c r="U220" s="4">
        <f t="shared" si="26"/>
        <v>0.844963047263852</v>
      </c>
      <c r="V220" s="4">
        <f t="shared" si="27"/>
        <v>1.66295166905038</v>
      </c>
      <c r="W220" s="4">
        <f t="shared" si="28"/>
        <v>1.5262532197345</v>
      </c>
    </row>
    <row r="221" spans="1:23">
      <c r="A221" s="5" t="s">
        <v>238</v>
      </c>
      <c r="B221" s="5">
        <v>66917</v>
      </c>
      <c r="C221" s="5">
        <v>66917</v>
      </c>
      <c r="D221" s="5">
        <v>1703365</v>
      </c>
      <c r="E221" s="5">
        <v>34.128</v>
      </c>
      <c r="F221" s="5">
        <v>34.51</v>
      </c>
      <c r="G221" s="5">
        <v>20.807</v>
      </c>
      <c r="H221" s="5">
        <v>22.924</v>
      </c>
      <c r="I221" s="5">
        <v>24.396</v>
      </c>
      <c r="J221" s="5">
        <v>21.009</v>
      </c>
      <c r="K221" s="5">
        <v>1703365</v>
      </c>
      <c r="L221" s="5">
        <v>1705848</v>
      </c>
      <c r="M221" s="6">
        <f t="shared" si="29"/>
        <v>1.00145770284114</v>
      </c>
      <c r="N221" s="5">
        <v>2756124</v>
      </c>
      <c r="O221" s="6">
        <f t="shared" si="30"/>
        <v>1.61804663122701</v>
      </c>
      <c r="P221" s="5">
        <v>974940</v>
      </c>
      <c r="Q221" s="1">
        <f t="shared" si="31"/>
        <v>0.572361179195299</v>
      </c>
      <c r="S221" s="4">
        <f t="shared" si="24"/>
        <v>0.988930744711678</v>
      </c>
      <c r="T221" s="4">
        <f t="shared" si="25"/>
        <v>1.64021723458451</v>
      </c>
      <c r="U221" s="4">
        <f t="shared" si="26"/>
        <v>1.48874541964753</v>
      </c>
      <c r="V221" s="4">
        <f t="shared" si="27"/>
        <v>1.39891785538613</v>
      </c>
      <c r="W221" s="4">
        <f t="shared" si="28"/>
        <v>1.62444666571469</v>
      </c>
    </row>
    <row r="222" spans="1:23">
      <c r="A222" s="5" t="s">
        <v>239</v>
      </c>
      <c r="B222" s="5">
        <v>112985</v>
      </c>
      <c r="C222" s="5">
        <v>112985</v>
      </c>
      <c r="D222" s="5">
        <v>7892195</v>
      </c>
      <c r="E222" s="5">
        <v>168.163</v>
      </c>
      <c r="F222" s="5">
        <v>142.142</v>
      </c>
      <c r="G222" s="5">
        <v>130.511</v>
      </c>
      <c r="H222" s="5">
        <v>154.296</v>
      </c>
      <c r="I222" s="5">
        <v>90.866</v>
      </c>
      <c r="J222" s="5">
        <v>92.351</v>
      </c>
      <c r="K222" s="5">
        <v>7892195</v>
      </c>
      <c r="L222" s="5">
        <v>7989936</v>
      </c>
      <c r="M222" s="6">
        <f t="shared" si="29"/>
        <v>1.01238451406738</v>
      </c>
      <c r="N222" s="5">
        <v>16168824</v>
      </c>
      <c r="O222" s="6">
        <f t="shared" si="30"/>
        <v>2.04871065654105</v>
      </c>
      <c r="P222" s="5">
        <v>4643356</v>
      </c>
      <c r="Q222" s="1">
        <f t="shared" si="31"/>
        <v>0.588347855064402</v>
      </c>
      <c r="S222" s="4">
        <f t="shared" si="24"/>
        <v>1.18306341545778</v>
      </c>
      <c r="T222" s="4">
        <f t="shared" si="25"/>
        <v>1.28849675506279</v>
      </c>
      <c r="U222" s="4">
        <f t="shared" si="26"/>
        <v>1.08987271218956</v>
      </c>
      <c r="V222" s="4">
        <f t="shared" si="27"/>
        <v>1.85067021768318</v>
      </c>
      <c r="W222" s="4">
        <f t="shared" si="28"/>
        <v>1.8209115223441</v>
      </c>
    </row>
    <row r="223" spans="1:23">
      <c r="A223" s="5" t="s">
        <v>240</v>
      </c>
      <c r="B223" s="5">
        <v>112985</v>
      </c>
      <c r="C223" s="5">
        <v>112985</v>
      </c>
      <c r="D223" s="5">
        <v>8451395</v>
      </c>
      <c r="E223" s="5">
        <v>170.678</v>
      </c>
      <c r="F223" s="5">
        <v>145.624</v>
      </c>
      <c r="G223" s="5">
        <v>143.245</v>
      </c>
      <c r="H223" s="5">
        <v>142.843</v>
      </c>
      <c r="I223" s="5">
        <v>95.916</v>
      </c>
      <c r="J223" s="5">
        <v>97.346</v>
      </c>
      <c r="K223" s="5">
        <v>8451395</v>
      </c>
      <c r="L223" s="5">
        <v>8560236</v>
      </c>
      <c r="M223" s="6">
        <f t="shared" si="29"/>
        <v>1.01287846562609</v>
      </c>
      <c r="N223" s="5">
        <v>16807336</v>
      </c>
      <c r="O223" s="6">
        <f t="shared" si="30"/>
        <v>1.98870553322854</v>
      </c>
      <c r="P223" s="5">
        <v>4922620</v>
      </c>
      <c r="Q223" s="1">
        <f t="shared" si="31"/>
        <v>0.582462421884198</v>
      </c>
      <c r="S223" s="4">
        <f t="shared" si="24"/>
        <v>1.17204581662363</v>
      </c>
      <c r="T223" s="4">
        <f t="shared" si="25"/>
        <v>1.19151104750602</v>
      </c>
      <c r="U223" s="4">
        <f t="shared" si="26"/>
        <v>1.19486429156487</v>
      </c>
      <c r="V223" s="4">
        <f t="shared" si="27"/>
        <v>1.77945285458109</v>
      </c>
      <c r="W223" s="4">
        <f t="shared" si="28"/>
        <v>1.7533129250303</v>
      </c>
    </row>
    <row r="224" spans="1:23">
      <c r="A224" s="5" t="s">
        <v>241</v>
      </c>
      <c r="B224" s="5">
        <v>1437960</v>
      </c>
      <c r="C224" s="5">
        <v>1437960</v>
      </c>
      <c r="D224" s="5">
        <v>63156690</v>
      </c>
      <c r="E224" s="5">
        <v>1271.44</v>
      </c>
      <c r="F224" s="5">
        <v>1124.83</v>
      </c>
      <c r="G224" s="5">
        <v>1022.89</v>
      </c>
      <c r="H224" s="5">
        <v>847.792</v>
      </c>
      <c r="I224" s="5">
        <v>911.72</v>
      </c>
      <c r="J224" s="5">
        <v>772.699</v>
      </c>
      <c r="K224" s="5">
        <v>63156690</v>
      </c>
      <c r="L224" s="5">
        <v>63255696</v>
      </c>
      <c r="M224" s="6">
        <f t="shared" si="29"/>
        <v>1.00156762490244</v>
      </c>
      <c r="N224" s="5">
        <v>83405952</v>
      </c>
      <c r="O224" s="6">
        <f t="shared" si="30"/>
        <v>1.32061943081564</v>
      </c>
      <c r="P224" s="5">
        <v>33914462</v>
      </c>
      <c r="Q224" s="1">
        <f t="shared" si="31"/>
        <v>0.536989224736129</v>
      </c>
      <c r="S224" s="4">
        <f t="shared" si="24"/>
        <v>1.13033969577625</v>
      </c>
      <c r="T224" s="4">
        <f t="shared" si="25"/>
        <v>1.24298800457527</v>
      </c>
      <c r="U224" s="4">
        <f t="shared" si="26"/>
        <v>1.4997074754185</v>
      </c>
      <c r="V224" s="4">
        <f t="shared" si="27"/>
        <v>1.39455095862765</v>
      </c>
      <c r="W224" s="4">
        <f t="shared" si="28"/>
        <v>1.64545314540332</v>
      </c>
    </row>
    <row r="225" spans="1:23">
      <c r="A225" s="5" t="s">
        <v>242</v>
      </c>
      <c r="B225" s="5">
        <v>48962</v>
      </c>
      <c r="C225" s="5">
        <v>48962</v>
      </c>
      <c r="D225" s="5">
        <v>512084</v>
      </c>
      <c r="E225" s="5">
        <v>8.944</v>
      </c>
      <c r="F225" s="5">
        <v>9.419</v>
      </c>
      <c r="G225" s="5">
        <v>6.477</v>
      </c>
      <c r="H225" s="5">
        <v>7.491</v>
      </c>
      <c r="I225" s="5">
        <v>8.746</v>
      </c>
      <c r="J225" s="5">
        <v>7.849</v>
      </c>
      <c r="K225" s="5">
        <v>512084</v>
      </c>
      <c r="L225" s="5">
        <v>512944</v>
      </c>
      <c r="M225" s="6">
        <f t="shared" si="29"/>
        <v>1.00167941197147</v>
      </c>
      <c r="N225" s="5">
        <v>856656</v>
      </c>
      <c r="O225" s="6">
        <f t="shared" si="30"/>
        <v>1.67288179283086</v>
      </c>
      <c r="P225" s="5">
        <v>330626</v>
      </c>
      <c r="Q225" s="1">
        <f t="shared" si="31"/>
        <v>0.645647979628342</v>
      </c>
      <c r="S225" s="4">
        <f t="shared" si="24"/>
        <v>0.949570018048625</v>
      </c>
      <c r="T225" s="4">
        <f t="shared" si="25"/>
        <v>1.38088621275282</v>
      </c>
      <c r="U225" s="4">
        <f t="shared" si="26"/>
        <v>1.19396609264451</v>
      </c>
      <c r="V225" s="4">
        <f t="shared" si="27"/>
        <v>1.02263892064944</v>
      </c>
      <c r="W225" s="4">
        <f t="shared" si="28"/>
        <v>1.13950821760734</v>
      </c>
    </row>
    <row r="226" spans="1:23">
      <c r="A226" s="5" t="s">
        <v>243</v>
      </c>
      <c r="B226" s="5">
        <v>589446</v>
      </c>
      <c r="C226" s="5">
        <v>589446</v>
      </c>
      <c r="D226" s="5">
        <v>21758924</v>
      </c>
      <c r="E226" s="5">
        <v>657.303</v>
      </c>
      <c r="F226" s="5">
        <v>660.218</v>
      </c>
      <c r="G226" s="5">
        <v>684.263</v>
      </c>
      <c r="H226" s="5">
        <v>1154.1</v>
      </c>
      <c r="I226" s="5">
        <v>641.765</v>
      </c>
      <c r="J226" s="5">
        <v>529.767</v>
      </c>
      <c r="K226" s="5">
        <v>21758924</v>
      </c>
      <c r="L226" s="5">
        <v>21761880</v>
      </c>
      <c r="M226" s="6">
        <f t="shared" si="29"/>
        <v>1.00013585230593</v>
      </c>
      <c r="N226" s="5">
        <v>63964984</v>
      </c>
      <c r="O226" s="6">
        <f t="shared" si="30"/>
        <v>2.9397126438789</v>
      </c>
      <c r="P226" s="5">
        <v>16543450</v>
      </c>
      <c r="Q226" s="1">
        <f t="shared" si="31"/>
        <v>0.760306437947023</v>
      </c>
      <c r="S226" s="4">
        <f t="shared" si="24"/>
        <v>0.995584791690018</v>
      </c>
      <c r="T226" s="4">
        <f t="shared" si="25"/>
        <v>0.960599944758083</v>
      </c>
      <c r="U226" s="4">
        <f t="shared" si="26"/>
        <v>0.569537301793605</v>
      </c>
      <c r="V226" s="4">
        <f t="shared" si="27"/>
        <v>1.02421135462358</v>
      </c>
      <c r="W226" s="4">
        <f t="shared" si="28"/>
        <v>1.24073979692959</v>
      </c>
    </row>
    <row r="227" spans="1:23">
      <c r="A227" s="5" t="s">
        <v>244</v>
      </c>
      <c r="B227" s="5">
        <v>17361</v>
      </c>
      <c r="C227" s="5">
        <v>17361</v>
      </c>
      <c r="D227" s="5">
        <v>1021159</v>
      </c>
      <c r="E227" s="5">
        <v>16.892</v>
      </c>
      <c r="F227" s="5">
        <v>17.488</v>
      </c>
      <c r="G227" s="5">
        <v>11.872</v>
      </c>
      <c r="H227" s="5">
        <v>8.784</v>
      </c>
      <c r="I227" s="5">
        <v>11.334</v>
      </c>
      <c r="J227" s="5">
        <v>11.034</v>
      </c>
      <c r="K227" s="5">
        <v>1021159</v>
      </c>
      <c r="L227" s="5">
        <v>1031156</v>
      </c>
      <c r="M227" s="6">
        <f t="shared" si="29"/>
        <v>1.00978985642784</v>
      </c>
      <c r="N227" s="5">
        <v>1253652</v>
      </c>
      <c r="O227" s="6">
        <f t="shared" si="30"/>
        <v>1.22767561173138</v>
      </c>
      <c r="P227" s="5">
        <v>540566</v>
      </c>
      <c r="Q227" s="1">
        <f t="shared" si="31"/>
        <v>0.52936516252611</v>
      </c>
      <c r="S227" s="4">
        <f t="shared" si="24"/>
        <v>0.965919487648673</v>
      </c>
      <c r="T227" s="4">
        <f t="shared" si="25"/>
        <v>1.42284366576819</v>
      </c>
      <c r="U227" s="4">
        <f t="shared" si="26"/>
        <v>1.92304189435337</v>
      </c>
      <c r="V227" s="4">
        <f t="shared" si="27"/>
        <v>1.49038291865184</v>
      </c>
      <c r="W227" s="4">
        <f t="shared" si="28"/>
        <v>1.53090447707087</v>
      </c>
    </row>
    <row r="228" spans="1:23">
      <c r="A228" s="5" t="s">
        <v>245</v>
      </c>
      <c r="B228" s="5">
        <v>17361</v>
      </c>
      <c r="C228" s="5">
        <v>17361</v>
      </c>
      <c r="D228" s="5">
        <v>1021159</v>
      </c>
      <c r="E228" s="5">
        <v>16.547</v>
      </c>
      <c r="F228" s="5">
        <v>13.091</v>
      </c>
      <c r="G228" s="5">
        <v>11.703</v>
      </c>
      <c r="H228" s="5">
        <v>8.709</v>
      </c>
      <c r="I228" s="5">
        <v>11.27</v>
      </c>
      <c r="J228" s="5">
        <v>11.172</v>
      </c>
      <c r="K228" s="5">
        <v>1021159</v>
      </c>
      <c r="L228" s="5">
        <v>1031156</v>
      </c>
      <c r="M228" s="6">
        <f t="shared" si="29"/>
        <v>1.00978985642784</v>
      </c>
      <c r="N228" s="5">
        <v>1253652</v>
      </c>
      <c r="O228" s="6">
        <f t="shared" si="30"/>
        <v>1.22767561173138</v>
      </c>
      <c r="P228" s="5">
        <v>540566</v>
      </c>
      <c r="Q228" s="1">
        <f t="shared" si="31"/>
        <v>0.52936516252611</v>
      </c>
      <c r="S228" s="4">
        <f t="shared" si="24"/>
        <v>1.2639981666794</v>
      </c>
      <c r="T228" s="4">
        <f t="shared" si="25"/>
        <v>1.41391096300094</v>
      </c>
      <c r="U228" s="4">
        <f t="shared" si="26"/>
        <v>1.89998851762545</v>
      </c>
      <c r="V228" s="4">
        <f t="shared" si="27"/>
        <v>1.46823425022183</v>
      </c>
      <c r="W228" s="4">
        <f t="shared" si="28"/>
        <v>1.48111349803079</v>
      </c>
    </row>
    <row r="229" spans="1:23">
      <c r="A229" s="5" t="s">
        <v>246</v>
      </c>
      <c r="B229" s="5">
        <v>17361</v>
      </c>
      <c r="C229" s="5">
        <v>17361</v>
      </c>
      <c r="D229" s="5">
        <v>340431</v>
      </c>
      <c r="E229" s="5">
        <v>5.485</v>
      </c>
      <c r="F229" s="5">
        <v>5.4</v>
      </c>
      <c r="G229" s="5">
        <v>4.052</v>
      </c>
      <c r="H229" s="5">
        <v>7.019</v>
      </c>
      <c r="I229" s="5">
        <v>5.61</v>
      </c>
      <c r="J229" s="5">
        <v>4.68</v>
      </c>
      <c r="K229" s="5">
        <v>340431</v>
      </c>
      <c r="L229" s="5">
        <v>343768</v>
      </c>
      <c r="M229" s="6">
        <f t="shared" si="29"/>
        <v>1.00980228005088</v>
      </c>
      <c r="N229" s="5">
        <v>981264</v>
      </c>
      <c r="O229" s="6">
        <f t="shared" si="30"/>
        <v>2.88241670118174</v>
      </c>
      <c r="P229" s="5">
        <v>222408</v>
      </c>
      <c r="Q229" s="1">
        <f t="shared" si="31"/>
        <v>0.653313006159839</v>
      </c>
      <c r="S229" s="4">
        <f t="shared" si="24"/>
        <v>1.01574074074074</v>
      </c>
      <c r="T229" s="4">
        <f t="shared" si="25"/>
        <v>1.35365251727542</v>
      </c>
      <c r="U229" s="4">
        <f t="shared" si="26"/>
        <v>0.781450349052572</v>
      </c>
      <c r="V229" s="4">
        <f t="shared" si="27"/>
        <v>0.977718360071301</v>
      </c>
      <c r="W229" s="4">
        <f t="shared" si="28"/>
        <v>1.17200854700855</v>
      </c>
    </row>
    <row r="230" spans="1:23">
      <c r="A230" s="5" t="s">
        <v>247</v>
      </c>
      <c r="B230" s="5">
        <v>67024</v>
      </c>
      <c r="C230" s="5">
        <v>67024</v>
      </c>
      <c r="D230" s="5">
        <v>2216736</v>
      </c>
      <c r="E230" s="5">
        <v>40.037</v>
      </c>
      <c r="F230" s="5">
        <v>33.387</v>
      </c>
      <c r="G230" s="5">
        <v>27.655</v>
      </c>
      <c r="H230" s="5">
        <v>87.305</v>
      </c>
      <c r="I230" s="5">
        <v>33.933</v>
      </c>
      <c r="J230" s="5">
        <v>30.033</v>
      </c>
      <c r="K230" s="5">
        <v>2216736</v>
      </c>
      <c r="L230" s="5">
        <v>2220380</v>
      </c>
      <c r="M230" s="6">
        <f t="shared" si="29"/>
        <v>1.00164385835751</v>
      </c>
      <c r="N230" s="5">
        <v>6546148</v>
      </c>
      <c r="O230" s="6">
        <f t="shared" si="30"/>
        <v>2.95305710738672</v>
      </c>
      <c r="P230" s="5">
        <v>1515578</v>
      </c>
      <c r="Q230" s="1">
        <f t="shared" si="31"/>
        <v>0.683698013656114</v>
      </c>
      <c r="S230" s="4">
        <f t="shared" si="24"/>
        <v>1.19917932129272</v>
      </c>
      <c r="T230" s="4">
        <f t="shared" si="25"/>
        <v>1.44773097089134</v>
      </c>
      <c r="U230" s="4">
        <f t="shared" si="26"/>
        <v>0.458587709753164</v>
      </c>
      <c r="V230" s="4">
        <f t="shared" si="27"/>
        <v>1.17988388883977</v>
      </c>
      <c r="W230" s="4">
        <f t="shared" si="28"/>
        <v>1.33310025638464</v>
      </c>
    </row>
    <row r="231" spans="1:23">
      <c r="A231" s="5" t="s">
        <v>248</v>
      </c>
      <c r="B231" s="5">
        <v>10260</v>
      </c>
      <c r="C231" s="5">
        <v>10260</v>
      </c>
      <c r="D231" s="5">
        <v>92703</v>
      </c>
      <c r="E231" s="5">
        <v>1.469</v>
      </c>
      <c r="F231" s="5">
        <v>1.603</v>
      </c>
      <c r="G231" s="5">
        <v>1.323</v>
      </c>
      <c r="H231" s="5">
        <v>1.823</v>
      </c>
      <c r="I231" s="5">
        <v>1.305</v>
      </c>
      <c r="J231" s="5">
        <v>1.5</v>
      </c>
      <c r="K231" s="5">
        <v>92703</v>
      </c>
      <c r="L231" s="5">
        <v>120192</v>
      </c>
      <c r="M231" s="6">
        <f t="shared" si="29"/>
        <v>1.29652762046536</v>
      </c>
      <c r="N231" s="5">
        <v>238972</v>
      </c>
      <c r="O231" s="6">
        <f t="shared" si="30"/>
        <v>2.57782380289742</v>
      </c>
      <c r="P231" s="5">
        <v>55274</v>
      </c>
      <c r="Q231" s="1">
        <f t="shared" si="31"/>
        <v>0.596248233606248</v>
      </c>
      <c r="S231" s="4">
        <f t="shared" si="24"/>
        <v>0.916406737367436</v>
      </c>
      <c r="T231" s="4">
        <f t="shared" si="25"/>
        <v>1.1103552532124</v>
      </c>
      <c r="U231" s="4">
        <f t="shared" si="26"/>
        <v>0.805814591332968</v>
      </c>
      <c r="V231" s="4">
        <f t="shared" si="27"/>
        <v>1.12567049808429</v>
      </c>
      <c r="W231" s="4">
        <f t="shared" si="28"/>
        <v>0.979333333333333</v>
      </c>
    </row>
    <row r="232" spans="1:23">
      <c r="A232" s="5" t="s">
        <v>249</v>
      </c>
      <c r="B232" s="5">
        <v>15561</v>
      </c>
      <c r="C232" s="5">
        <v>15561</v>
      </c>
      <c r="D232" s="5">
        <v>149532</v>
      </c>
      <c r="E232" s="5">
        <v>2.407</v>
      </c>
      <c r="F232" s="5">
        <v>2.548</v>
      </c>
      <c r="G232" s="5">
        <v>2.195</v>
      </c>
      <c r="H232" s="5">
        <v>2.878</v>
      </c>
      <c r="I232" s="5">
        <v>2.17</v>
      </c>
      <c r="J232" s="5">
        <v>2.549</v>
      </c>
      <c r="K232" s="5">
        <v>149532</v>
      </c>
      <c r="L232" s="5">
        <v>191268</v>
      </c>
      <c r="M232" s="6">
        <f t="shared" si="29"/>
        <v>1.27911082577642</v>
      </c>
      <c r="N232" s="5">
        <v>376580</v>
      </c>
      <c r="O232" s="6">
        <f t="shared" si="30"/>
        <v>2.51839071235588</v>
      </c>
      <c r="P232" s="5">
        <v>87878</v>
      </c>
      <c r="Q232" s="1">
        <f t="shared" si="31"/>
        <v>0.587686916512853</v>
      </c>
      <c r="S232" s="4">
        <f t="shared" si="24"/>
        <v>0.944662480376766</v>
      </c>
      <c r="T232" s="4">
        <f t="shared" si="25"/>
        <v>1.09658314350797</v>
      </c>
      <c r="U232" s="4">
        <f t="shared" si="26"/>
        <v>0.8363446838082</v>
      </c>
      <c r="V232" s="4">
        <f t="shared" si="27"/>
        <v>1.10921658986175</v>
      </c>
      <c r="W232" s="4">
        <f t="shared" si="28"/>
        <v>0.944291879168301</v>
      </c>
    </row>
    <row r="233" spans="1:23">
      <c r="A233" s="5" t="s">
        <v>250</v>
      </c>
      <c r="B233" s="5">
        <v>16011</v>
      </c>
      <c r="C233" s="5">
        <v>16011</v>
      </c>
      <c r="D233" s="5">
        <v>155246</v>
      </c>
      <c r="E233" s="5">
        <v>2.617</v>
      </c>
      <c r="F233" s="5">
        <v>2.857</v>
      </c>
      <c r="G233" s="5">
        <v>2.251</v>
      </c>
      <c r="H233" s="5">
        <v>3.004</v>
      </c>
      <c r="I233" s="5">
        <v>2.288</v>
      </c>
      <c r="J233" s="5">
        <v>2.708</v>
      </c>
      <c r="K233" s="5">
        <v>155246</v>
      </c>
      <c r="L233" s="5">
        <v>198160</v>
      </c>
      <c r="M233" s="6">
        <f t="shared" si="29"/>
        <v>1.27642580163096</v>
      </c>
      <c r="N233" s="5">
        <v>390016</v>
      </c>
      <c r="O233" s="6">
        <f t="shared" si="30"/>
        <v>2.51224508199889</v>
      </c>
      <c r="P233" s="5">
        <v>90908</v>
      </c>
      <c r="Q233" s="1">
        <f t="shared" si="31"/>
        <v>0.585573863416771</v>
      </c>
      <c r="S233" s="4">
        <f t="shared" si="24"/>
        <v>0.915995799789989</v>
      </c>
      <c r="T233" s="4">
        <f t="shared" si="25"/>
        <v>1.16259440248778</v>
      </c>
      <c r="U233" s="4">
        <f t="shared" si="26"/>
        <v>0.871171770972037</v>
      </c>
      <c r="V233" s="4">
        <f t="shared" si="27"/>
        <v>1.14379370629371</v>
      </c>
      <c r="W233" s="4">
        <f t="shared" si="28"/>
        <v>0.966395864106351</v>
      </c>
    </row>
    <row r="234" spans="1:23">
      <c r="A234" s="5" t="s">
        <v>251</v>
      </c>
      <c r="B234" s="5">
        <v>10299</v>
      </c>
      <c r="C234" s="5">
        <v>10299</v>
      </c>
      <c r="D234" s="5">
        <v>151736</v>
      </c>
      <c r="E234" s="5">
        <v>2.612</v>
      </c>
      <c r="F234" s="5">
        <v>2.664</v>
      </c>
      <c r="G234" s="5">
        <v>1.723</v>
      </c>
      <c r="H234" s="5">
        <v>3.199</v>
      </c>
      <c r="I234" s="5">
        <v>3.93</v>
      </c>
      <c r="J234" s="5">
        <v>2.583</v>
      </c>
      <c r="K234" s="5">
        <v>151736</v>
      </c>
      <c r="L234" s="5">
        <v>153732</v>
      </c>
      <c r="M234" s="6">
        <f t="shared" si="29"/>
        <v>1.0131544261085</v>
      </c>
      <c r="N234" s="5">
        <v>417636</v>
      </c>
      <c r="O234" s="6">
        <f t="shared" si="30"/>
        <v>2.75238572257078</v>
      </c>
      <c r="P234" s="5">
        <v>123330</v>
      </c>
      <c r="Q234" s="1">
        <f t="shared" si="31"/>
        <v>0.812793272525966</v>
      </c>
      <c r="S234" s="4">
        <f t="shared" si="24"/>
        <v>0.98048048048048</v>
      </c>
      <c r="T234" s="4">
        <f t="shared" si="25"/>
        <v>1.51596053395241</v>
      </c>
      <c r="U234" s="4">
        <f t="shared" si="26"/>
        <v>0.816505157861832</v>
      </c>
      <c r="V234" s="4">
        <f t="shared" si="27"/>
        <v>0.664631043256997</v>
      </c>
      <c r="W234" s="4">
        <f t="shared" si="28"/>
        <v>1.01122725512969</v>
      </c>
    </row>
    <row r="235" spans="1:23">
      <c r="A235" s="5" t="s">
        <v>252</v>
      </c>
      <c r="B235" s="5">
        <v>392257</v>
      </c>
      <c r="C235" s="5">
        <v>392257</v>
      </c>
      <c r="D235" s="5">
        <v>2741935</v>
      </c>
      <c r="E235" s="5">
        <v>56.735</v>
      </c>
      <c r="F235" s="5">
        <v>67.281</v>
      </c>
      <c r="G235" s="5">
        <v>48.583</v>
      </c>
      <c r="H235" s="5">
        <v>96.014</v>
      </c>
      <c r="I235" s="5">
        <v>74.667</v>
      </c>
      <c r="J235" s="5">
        <v>53.67</v>
      </c>
      <c r="K235" s="5">
        <v>2741935</v>
      </c>
      <c r="L235" s="5">
        <v>2742032</v>
      </c>
      <c r="M235" s="6">
        <f t="shared" si="29"/>
        <v>1.00003537647683</v>
      </c>
      <c r="N235" s="5">
        <v>7618832</v>
      </c>
      <c r="O235" s="6">
        <f t="shared" si="30"/>
        <v>2.77863333740588</v>
      </c>
      <c r="P235" s="5">
        <v>2212502</v>
      </c>
      <c r="Q235" s="1">
        <f t="shared" si="31"/>
        <v>0.806912636513995</v>
      </c>
      <c r="S235" s="4">
        <f t="shared" si="24"/>
        <v>0.843254410606263</v>
      </c>
      <c r="T235" s="4">
        <f t="shared" si="25"/>
        <v>1.16779531935039</v>
      </c>
      <c r="U235" s="4">
        <f t="shared" si="26"/>
        <v>0.590903409919387</v>
      </c>
      <c r="V235" s="4">
        <f t="shared" si="27"/>
        <v>0.759840357855545</v>
      </c>
      <c r="W235" s="4">
        <f t="shared" si="28"/>
        <v>1.05710825414571</v>
      </c>
    </row>
    <row r="236" spans="1:23">
      <c r="A236" s="5" t="s">
        <v>253</v>
      </c>
      <c r="B236" s="5">
        <v>32226</v>
      </c>
      <c r="C236" s="5">
        <v>32226</v>
      </c>
      <c r="D236" s="5">
        <v>428444</v>
      </c>
      <c r="E236" s="5">
        <v>7.989</v>
      </c>
      <c r="F236" s="5">
        <v>8.431</v>
      </c>
      <c r="G236" s="5">
        <v>5.664</v>
      </c>
      <c r="H236" s="5">
        <v>10.698</v>
      </c>
      <c r="I236" s="5">
        <v>10.745</v>
      </c>
      <c r="J236" s="5">
        <v>8.03</v>
      </c>
      <c r="K236" s="5">
        <v>428444</v>
      </c>
      <c r="L236" s="5">
        <v>429816</v>
      </c>
      <c r="M236" s="6">
        <f t="shared" si="29"/>
        <v>1.00320228547955</v>
      </c>
      <c r="N236" s="5">
        <v>1260020</v>
      </c>
      <c r="O236" s="6">
        <f t="shared" si="30"/>
        <v>2.94092110054056</v>
      </c>
      <c r="P236" s="5">
        <v>339392</v>
      </c>
      <c r="Q236" s="1">
        <f t="shared" si="31"/>
        <v>0.792150199325933</v>
      </c>
      <c r="S236" s="4">
        <f t="shared" si="24"/>
        <v>0.947574427707271</v>
      </c>
      <c r="T236" s="4">
        <f t="shared" si="25"/>
        <v>1.41048728813559</v>
      </c>
      <c r="U236" s="4">
        <f t="shared" si="26"/>
        <v>0.746775098149187</v>
      </c>
      <c r="V236" s="4">
        <f t="shared" si="27"/>
        <v>0.743508608655189</v>
      </c>
      <c r="W236" s="4">
        <f t="shared" si="28"/>
        <v>0.994894146948942</v>
      </c>
    </row>
    <row r="237" spans="1:23">
      <c r="A237" s="5" t="s">
        <v>254</v>
      </c>
      <c r="B237" s="5">
        <v>8361</v>
      </c>
      <c r="C237" s="5">
        <v>8361</v>
      </c>
      <c r="D237" s="5">
        <v>31502</v>
      </c>
      <c r="E237" s="5">
        <v>0.976</v>
      </c>
      <c r="F237" s="5">
        <v>1.124</v>
      </c>
      <c r="G237" s="5">
        <v>0.383</v>
      </c>
      <c r="H237" s="5">
        <v>1.186</v>
      </c>
      <c r="I237" s="5">
        <v>1.372</v>
      </c>
      <c r="J237" s="5">
        <v>0.99</v>
      </c>
      <c r="K237" s="5">
        <v>31502</v>
      </c>
      <c r="L237" s="5">
        <v>32124</v>
      </c>
      <c r="M237" s="6">
        <f t="shared" si="29"/>
        <v>1.01974477810933</v>
      </c>
      <c r="N237" s="5">
        <v>103376</v>
      </c>
      <c r="O237" s="6">
        <f t="shared" si="30"/>
        <v>3.28156942416355</v>
      </c>
      <c r="P237" s="5">
        <v>34656</v>
      </c>
      <c r="Q237" s="1">
        <f t="shared" si="31"/>
        <v>1.10012062726176</v>
      </c>
      <c r="S237" s="4">
        <f t="shared" si="24"/>
        <v>0.868327402135231</v>
      </c>
      <c r="T237" s="4">
        <f t="shared" si="25"/>
        <v>2.54830287206266</v>
      </c>
      <c r="U237" s="4">
        <f t="shared" si="26"/>
        <v>0.822934232715008</v>
      </c>
      <c r="V237" s="4">
        <f t="shared" si="27"/>
        <v>0.71137026239067</v>
      </c>
      <c r="W237" s="4">
        <f t="shared" si="28"/>
        <v>0.985858585858586</v>
      </c>
    </row>
    <row r="238" spans="1:23">
      <c r="A238" s="5" t="s">
        <v>255</v>
      </c>
      <c r="B238" s="5">
        <v>220542</v>
      </c>
      <c r="C238" s="5">
        <v>220542</v>
      </c>
      <c r="D238" s="5">
        <v>10768436</v>
      </c>
      <c r="E238" s="5">
        <v>220.351</v>
      </c>
      <c r="F238" s="5">
        <v>198.269</v>
      </c>
      <c r="G238" s="5">
        <v>178.169</v>
      </c>
      <c r="H238" s="5">
        <v>117.167</v>
      </c>
      <c r="I238" s="5">
        <v>135.414</v>
      </c>
      <c r="J238" s="5">
        <v>134.351</v>
      </c>
      <c r="K238" s="5">
        <v>10768436</v>
      </c>
      <c r="L238" s="5">
        <v>10785236</v>
      </c>
      <c r="M238" s="6">
        <f t="shared" si="29"/>
        <v>1.0015601151365</v>
      </c>
      <c r="N238" s="5">
        <v>12241628</v>
      </c>
      <c r="O238" s="6">
        <f t="shared" si="30"/>
        <v>1.13680649631943</v>
      </c>
      <c r="P238" s="5">
        <v>5628208</v>
      </c>
      <c r="Q238" s="1">
        <f t="shared" si="31"/>
        <v>0.522657886437733</v>
      </c>
      <c r="S238" s="4">
        <f t="shared" si="24"/>
        <v>1.11137394146337</v>
      </c>
      <c r="T238" s="4">
        <f t="shared" si="25"/>
        <v>1.23675274598836</v>
      </c>
      <c r="U238" s="4">
        <f t="shared" si="26"/>
        <v>1.88065752302269</v>
      </c>
      <c r="V238" s="4">
        <f t="shared" si="27"/>
        <v>1.6272394287149</v>
      </c>
      <c r="W238" s="4">
        <f t="shared" si="28"/>
        <v>1.64011432739615</v>
      </c>
    </row>
    <row r="239" spans="1:23">
      <c r="A239" s="5" t="s">
        <v>256</v>
      </c>
      <c r="B239" s="5">
        <v>1498023</v>
      </c>
      <c r="C239" s="5">
        <v>1498023</v>
      </c>
      <c r="D239" s="5">
        <v>60917445</v>
      </c>
      <c r="E239" s="5">
        <v>1306.98</v>
      </c>
      <c r="F239" s="5">
        <v>1041.58</v>
      </c>
      <c r="G239" s="5">
        <v>961.859</v>
      </c>
      <c r="H239" s="5">
        <v>802.204</v>
      </c>
      <c r="I239" s="5">
        <v>925.197</v>
      </c>
      <c r="J239" s="5">
        <v>752.363</v>
      </c>
      <c r="K239" s="5">
        <v>60917445</v>
      </c>
      <c r="L239" s="5">
        <v>61130604</v>
      </c>
      <c r="M239" s="6">
        <f t="shared" si="29"/>
        <v>1.00349914544184</v>
      </c>
      <c r="N239" s="5">
        <v>78536544</v>
      </c>
      <c r="O239" s="6">
        <f t="shared" si="30"/>
        <v>1.28922911983587</v>
      </c>
      <c r="P239" s="5">
        <v>32961876</v>
      </c>
      <c r="Q239" s="1">
        <f t="shared" si="31"/>
        <v>0.541090914105147</v>
      </c>
      <c r="S239" s="4">
        <f t="shared" si="24"/>
        <v>1.25480519979262</v>
      </c>
      <c r="T239" s="4">
        <f t="shared" si="25"/>
        <v>1.35880622835572</v>
      </c>
      <c r="U239" s="4">
        <f t="shared" si="26"/>
        <v>1.62923645357041</v>
      </c>
      <c r="V239" s="4">
        <f t="shared" si="27"/>
        <v>1.41265049497566</v>
      </c>
      <c r="W239" s="4">
        <f t="shared" si="28"/>
        <v>1.73716676657411</v>
      </c>
    </row>
    <row r="240" spans="1:23">
      <c r="A240" s="5" t="s">
        <v>257</v>
      </c>
      <c r="B240" s="5">
        <v>226340</v>
      </c>
      <c r="C240" s="5">
        <v>226340</v>
      </c>
      <c r="D240" s="5">
        <v>904522</v>
      </c>
      <c r="E240" s="5">
        <v>31.677</v>
      </c>
      <c r="F240" s="5">
        <v>22.563</v>
      </c>
      <c r="G240" s="5">
        <v>17.429</v>
      </c>
      <c r="H240" s="5">
        <v>43.641</v>
      </c>
      <c r="I240" s="5">
        <v>24.02</v>
      </c>
      <c r="J240" s="5">
        <v>22.54</v>
      </c>
      <c r="K240" s="5">
        <v>904522</v>
      </c>
      <c r="L240" s="5">
        <v>946952</v>
      </c>
      <c r="M240" s="6">
        <f t="shared" si="29"/>
        <v>1.04690875401593</v>
      </c>
      <c r="N240" s="5">
        <v>3260036</v>
      </c>
      <c r="O240" s="6">
        <f t="shared" si="30"/>
        <v>3.60415335392616</v>
      </c>
      <c r="P240" s="5">
        <v>575156</v>
      </c>
      <c r="Q240" s="1">
        <f t="shared" si="31"/>
        <v>0.635867342087865</v>
      </c>
      <c r="S240" s="4">
        <f t="shared" si="24"/>
        <v>1.40393564685547</v>
      </c>
      <c r="T240" s="4">
        <f t="shared" si="25"/>
        <v>1.81748809455505</v>
      </c>
      <c r="U240" s="4">
        <f t="shared" si="26"/>
        <v>0.7258541279989</v>
      </c>
      <c r="V240" s="4">
        <f t="shared" si="27"/>
        <v>1.31877601998335</v>
      </c>
      <c r="W240" s="4">
        <f t="shared" si="28"/>
        <v>1.40536823425022</v>
      </c>
    </row>
    <row r="241" spans="1:23">
      <c r="A241" s="5" t="s">
        <v>258</v>
      </c>
      <c r="B241" s="5">
        <v>226340</v>
      </c>
      <c r="C241" s="5">
        <v>226340</v>
      </c>
      <c r="D241" s="5">
        <v>883422</v>
      </c>
      <c r="E241" s="5">
        <v>31.438</v>
      </c>
      <c r="F241" s="5">
        <v>21.472</v>
      </c>
      <c r="G241" s="5">
        <v>16.348</v>
      </c>
      <c r="H241" s="5">
        <v>43.299</v>
      </c>
      <c r="I241" s="5">
        <v>26.684</v>
      </c>
      <c r="J241" s="5">
        <v>25.42</v>
      </c>
      <c r="K241" s="5">
        <v>883422</v>
      </c>
      <c r="L241" s="5">
        <v>923936</v>
      </c>
      <c r="M241" s="6">
        <f t="shared" si="29"/>
        <v>1.04586030232437</v>
      </c>
      <c r="N241" s="5">
        <v>3212700</v>
      </c>
      <c r="O241" s="6">
        <f t="shared" si="30"/>
        <v>3.63665383021931</v>
      </c>
      <c r="P241" s="5">
        <v>565754</v>
      </c>
      <c r="Q241" s="1">
        <f t="shared" si="31"/>
        <v>0.640411943555854</v>
      </c>
      <c r="S241" s="4">
        <f t="shared" si="24"/>
        <v>1.46413934426229</v>
      </c>
      <c r="T241" s="4">
        <f t="shared" si="25"/>
        <v>1.92304869097137</v>
      </c>
      <c r="U241" s="4">
        <f t="shared" si="26"/>
        <v>0.726067576618398</v>
      </c>
      <c r="V241" s="4">
        <f t="shared" si="27"/>
        <v>1.17815919652226</v>
      </c>
      <c r="W241" s="4">
        <f t="shared" si="28"/>
        <v>1.23674272226593</v>
      </c>
    </row>
    <row r="242" spans="1:23">
      <c r="A242" s="5" t="s">
        <v>259</v>
      </c>
      <c r="B242" s="5">
        <v>22283</v>
      </c>
      <c r="C242" s="5">
        <v>22283</v>
      </c>
      <c r="D242" s="5">
        <v>24669643</v>
      </c>
      <c r="E242" s="5">
        <v>445.88</v>
      </c>
      <c r="F242" s="5">
        <v>372.784</v>
      </c>
      <c r="G242" s="5">
        <v>513.378</v>
      </c>
      <c r="H242" s="5">
        <v>493.754</v>
      </c>
      <c r="I242" s="5">
        <v>340.656</v>
      </c>
      <c r="J242" s="5">
        <v>276.538</v>
      </c>
      <c r="K242" s="5">
        <v>24669643</v>
      </c>
      <c r="L242" s="5">
        <v>25145916</v>
      </c>
      <c r="M242" s="6">
        <f t="shared" si="29"/>
        <v>1.0193060353569</v>
      </c>
      <c r="N242" s="5">
        <v>63606676</v>
      </c>
      <c r="O242" s="6">
        <f t="shared" si="30"/>
        <v>2.57833791919891</v>
      </c>
      <c r="P242" s="5">
        <v>18599100</v>
      </c>
      <c r="Q242" s="1">
        <f t="shared" si="31"/>
        <v>0.753926597154243</v>
      </c>
      <c r="S242" s="4">
        <f t="shared" si="24"/>
        <v>1.19608137688313</v>
      </c>
      <c r="T242" s="4">
        <f t="shared" si="25"/>
        <v>0.868521829918695</v>
      </c>
      <c r="U242" s="4">
        <f t="shared" si="26"/>
        <v>0.903040785492371</v>
      </c>
      <c r="V242" s="4">
        <f t="shared" si="27"/>
        <v>1.30888638391809</v>
      </c>
      <c r="W242" s="4">
        <f t="shared" si="28"/>
        <v>1.61236430436323</v>
      </c>
    </row>
    <row r="243" spans="1:23">
      <c r="A243" s="5" t="s">
        <v>260</v>
      </c>
      <c r="B243" s="5">
        <v>14340</v>
      </c>
      <c r="C243" s="5">
        <v>14340</v>
      </c>
      <c r="D243" s="5">
        <v>18068388</v>
      </c>
      <c r="E243" s="5">
        <v>348.114</v>
      </c>
      <c r="F243" s="5">
        <v>275.768</v>
      </c>
      <c r="G243" s="5">
        <v>307.682</v>
      </c>
      <c r="H243" s="5">
        <v>349.135</v>
      </c>
      <c r="I243" s="5">
        <v>229.959</v>
      </c>
      <c r="J243" s="5">
        <v>193.568</v>
      </c>
      <c r="K243" s="5">
        <v>18068388</v>
      </c>
      <c r="L243" s="5">
        <v>18338068</v>
      </c>
      <c r="M243" s="6">
        <f t="shared" si="29"/>
        <v>1.01492551521475</v>
      </c>
      <c r="N243" s="5">
        <v>43198124</v>
      </c>
      <c r="O243" s="6">
        <f t="shared" si="30"/>
        <v>2.39081228496975</v>
      </c>
      <c r="P243" s="5">
        <v>13135984</v>
      </c>
      <c r="Q243" s="1">
        <f t="shared" si="31"/>
        <v>0.727014717638342</v>
      </c>
      <c r="S243" s="4">
        <f t="shared" si="24"/>
        <v>1.26234370920484</v>
      </c>
      <c r="T243" s="4">
        <f t="shared" si="25"/>
        <v>1.13140840218147</v>
      </c>
      <c r="U243" s="4">
        <f t="shared" si="26"/>
        <v>0.997075629770719</v>
      </c>
      <c r="V243" s="4">
        <f t="shared" si="27"/>
        <v>1.51380898334051</v>
      </c>
      <c r="W243" s="4">
        <f t="shared" si="28"/>
        <v>1.79840676144817</v>
      </c>
    </row>
    <row r="244" spans="1:23">
      <c r="A244" s="5" t="s">
        <v>261</v>
      </c>
      <c r="B244" s="5">
        <v>9144</v>
      </c>
      <c r="C244" s="5">
        <v>9144</v>
      </c>
      <c r="D244" s="5">
        <v>124656</v>
      </c>
      <c r="E244" s="5">
        <v>2.143</v>
      </c>
      <c r="F244" s="5">
        <v>2.221</v>
      </c>
      <c r="G244" s="5">
        <v>1.384</v>
      </c>
      <c r="H244" s="5">
        <v>3.009</v>
      </c>
      <c r="I244" s="5">
        <v>3.348</v>
      </c>
      <c r="J244" s="5">
        <v>2.141</v>
      </c>
      <c r="K244" s="5">
        <v>124656</v>
      </c>
      <c r="L244" s="5">
        <v>125372</v>
      </c>
      <c r="M244" s="6">
        <f t="shared" si="29"/>
        <v>1.00574380695675</v>
      </c>
      <c r="N244" s="5">
        <v>400624</v>
      </c>
      <c r="O244" s="6">
        <f t="shared" si="30"/>
        <v>3.21383647798742</v>
      </c>
      <c r="P244" s="5">
        <v>111870</v>
      </c>
      <c r="Q244" s="1">
        <f t="shared" si="31"/>
        <v>0.897429726607624</v>
      </c>
      <c r="S244" s="4">
        <f t="shared" si="24"/>
        <v>0.964880684376407</v>
      </c>
      <c r="T244" s="4">
        <f t="shared" si="25"/>
        <v>1.54841040462428</v>
      </c>
      <c r="U244" s="4">
        <f t="shared" si="26"/>
        <v>0.712196743104021</v>
      </c>
      <c r="V244" s="4">
        <f t="shared" si="27"/>
        <v>0.640083632019116</v>
      </c>
      <c r="W244" s="4">
        <f t="shared" si="28"/>
        <v>1.00093414292387</v>
      </c>
    </row>
    <row r="245" spans="1:23">
      <c r="A245" s="5" t="s">
        <v>262</v>
      </c>
      <c r="B245" s="5">
        <v>503712</v>
      </c>
      <c r="C245" s="5">
        <v>503712</v>
      </c>
      <c r="D245" s="5">
        <v>36816342</v>
      </c>
      <c r="E245" s="5">
        <v>760.301</v>
      </c>
      <c r="F245" s="5">
        <v>648.975</v>
      </c>
      <c r="G245" s="5">
        <v>639.649</v>
      </c>
      <c r="H245" s="5">
        <v>485.824</v>
      </c>
      <c r="I245" s="5">
        <v>492.956</v>
      </c>
      <c r="J245" s="5">
        <v>514.071</v>
      </c>
      <c r="K245" s="5">
        <v>36816342</v>
      </c>
      <c r="L245" s="5">
        <v>36925240</v>
      </c>
      <c r="M245" s="6">
        <f t="shared" si="29"/>
        <v>1.00295787126271</v>
      </c>
      <c r="N245" s="5">
        <v>47463512</v>
      </c>
      <c r="O245" s="6">
        <f t="shared" si="30"/>
        <v>1.28919684633525</v>
      </c>
      <c r="P245" s="5">
        <v>19485438</v>
      </c>
      <c r="Q245" s="1">
        <f t="shared" si="31"/>
        <v>0.529260565865017</v>
      </c>
      <c r="S245" s="4">
        <f t="shared" si="24"/>
        <v>1.17154127662853</v>
      </c>
      <c r="T245" s="4">
        <f t="shared" si="25"/>
        <v>1.18862219748643</v>
      </c>
      <c r="U245" s="4">
        <f t="shared" si="26"/>
        <v>1.56497208865762</v>
      </c>
      <c r="V245" s="4">
        <f t="shared" si="27"/>
        <v>1.54233034997038</v>
      </c>
      <c r="W245" s="4">
        <f t="shared" si="28"/>
        <v>1.4789805299268</v>
      </c>
    </row>
    <row r="246" spans="1:23">
      <c r="A246" s="5" t="s">
        <v>263</v>
      </c>
      <c r="B246" s="5">
        <v>9961</v>
      </c>
      <c r="C246" s="5">
        <v>9961</v>
      </c>
      <c r="D246" s="5">
        <v>131144</v>
      </c>
      <c r="E246" s="5">
        <v>2.278</v>
      </c>
      <c r="F246" s="5">
        <v>2.327</v>
      </c>
      <c r="G246" s="5">
        <v>1.448</v>
      </c>
      <c r="H246" s="5">
        <v>2.452</v>
      </c>
      <c r="I246" s="5">
        <v>3.152</v>
      </c>
      <c r="J246" s="5">
        <v>2.264</v>
      </c>
      <c r="K246" s="5">
        <v>131144</v>
      </c>
      <c r="L246" s="5">
        <v>131660</v>
      </c>
      <c r="M246" s="6">
        <f t="shared" si="29"/>
        <v>1.00393460623437</v>
      </c>
      <c r="N246" s="5">
        <v>308740</v>
      </c>
      <c r="O246" s="6">
        <f t="shared" si="30"/>
        <v>2.35420606356372</v>
      </c>
      <c r="P246" s="5">
        <v>94644</v>
      </c>
      <c r="Q246" s="1">
        <f t="shared" si="31"/>
        <v>0.721679985359605</v>
      </c>
      <c r="S246" s="4">
        <f t="shared" si="24"/>
        <v>0.978942844864633</v>
      </c>
      <c r="T246" s="4">
        <f t="shared" si="25"/>
        <v>1.5732044198895</v>
      </c>
      <c r="U246" s="4">
        <f t="shared" si="26"/>
        <v>0.929037520391517</v>
      </c>
      <c r="V246" s="4">
        <f t="shared" si="27"/>
        <v>0.722715736040609</v>
      </c>
      <c r="W246" s="4">
        <f t="shared" si="28"/>
        <v>1.00618374558304</v>
      </c>
    </row>
    <row r="247" spans="1:23">
      <c r="A247" s="5" t="s">
        <v>264</v>
      </c>
      <c r="B247" s="5">
        <v>40000</v>
      </c>
      <c r="C247" s="5">
        <v>40000</v>
      </c>
      <c r="D247" s="5">
        <v>199200</v>
      </c>
      <c r="E247" s="5">
        <v>3.579</v>
      </c>
      <c r="F247" s="5">
        <v>4.473</v>
      </c>
      <c r="G247" s="5">
        <v>2.667</v>
      </c>
      <c r="H247" s="5">
        <v>4.286</v>
      </c>
      <c r="I247" s="5">
        <v>3.841</v>
      </c>
      <c r="J247" s="5">
        <v>3.278</v>
      </c>
      <c r="K247" s="5">
        <v>199200</v>
      </c>
      <c r="L247" s="5">
        <v>199296</v>
      </c>
      <c r="M247" s="6">
        <f t="shared" si="29"/>
        <v>1.00048192771084</v>
      </c>
      <c r="N247" s="5">
        <v>478400</v>
      </c>
      <c r="O247" s="6">
        <f t="shared" si="30"/>
        <v>2.40160642570281</v>
      </c>
      <c r="P247" s="5">
        <v>119800</v>
      </c>
      <c r="Q247" s="1">
        <f t="shared" si="31"/>
        <v>0.60140562248996</v>
      </c>
      <c r="S247" s="4">
        <f t="shared" si="24"/>
        <v>0.800134138162307</v>
      </c>
      <c r="T247" s="4">
        <f t="shared" si="25"/>
        <v>1.34195725534308</v>
      </c>
      <c r="U247" s="4">
        <f t="shared" si="26"/>
        <v>0.835044330377975</v>
      </c>
      <c r="V247" s="4">
        <f t="shared" si="27"/>
        <v>0.931788596719604</v>
      </c>
      <c r="W247" s="4">
        <f t="shared" si="28"/>
        <v>1.09182428309945</v>
      </c>
    </row>
    <row r="248" spans="1:23">
      <c r="A248" s="5" t="s">
        <v>265</v>
      </c>
      <c r="B248" s="5">
        <v>67759</v>
      </c>
      <c r="C248" s="5">
        <v>67759</v>
      </c>
      <c r="D248" s="5">
        <v>559774</v>
      </c>
      <c r="E248" s="5">
        <v>10.559</v>
      </c>
      <c r="F248" s="5">
        <v>11.903</v>
      </c>
      <c r="G248" s="5">
        <v>7.724</v>
      </c>
      <c r="H248" s="5">
        <v>11.877</v>
      </c>
      <c r="I248" s="5">
        <v>11.968</v>
      </c>
      <c r="J248" s="5">
        <v>10.706</v>
      </c>
      <c r="K248" s="5">
        <v>559774</v>
      </c>
      <c r="L248" s="5">
        <v>560480</v>
      </c>
      <c r="M248" s="6">
        <f t="shared" si="29"/>
        <v>1.00126122327939</v>
      </c>
      <c r="N248" s="5">
        <v>1343636</v>
      </c>
      <c r="O248" s="6">
        <f t="shared" si="30"/>
        <v>2.4003187000468</v>
      </c>
      <c r="P248" s="5">
        <v>434334</v>
      </c>
      <c r="Q248" s="1">
        <f t="shared" si="31"/>
        <v>0.775909563502413</v>
      </c>
      <c r="S248" s="4">
        <f t="shared" si="24"/>
        <v>0.88708728891876</v>
      </c>
      <c r="T248" s="4">
        <f t="shared" si="25"/>
        <v>1.3670378042465</v>
      </c>
      <c r="U248" s="4">
        <f t="shared" si="26"/>
        <v>0.88902921613202</v>
      </c>
      <c r="V248" s="4">
        <f t="shared" si="27"/>
        <v>0.882269385026738</v>
      </c>
      <c r="W248" s="4">
        <f t="shared" si="28"/>
        <v>0.986269381655147</v>
      </c>
    </row>
    <row r="249" spans="1:23">
      <c r="A249" s="5" t="s">
        <v>266</v>
      </c>
      <c r="B249" s="5">
        <v>38547</v>
      </c>
      <c r="C249" s="5">
        <v>38547</v>
      </c>
      <c r="D249" s="5">
        <v>618158</v>
      </c>
      <c r="E249" s="5">
        <v>12.966</v>
      </c>
      <c r="F249" s="5">
        <v>13.844</v>
      </c>
      <c r="G249" s="5">
        <v>10.482</v>
      </c>
      <c r="H249" s="5">
        <v>22.052</v>
      </c>
      <c r="I249" s="5">
        <v>20.385</v>
      </c>
      <c r="J249" s="5">
        <v>12.009</v>
      </c>
      <c r="K249" s="5">
        <v>618158</v>
      </c>
      <c r="L249" s="5">
        <v>631984</v>
      </c>
      <c r="M249" s="6">
        <f t="shared" si="29"/>
        <v>1.02236645000146</v>
      </c>
      <c r="N249" s="5">
        <v>2468912</v>
      </c>
      <c r="O249" s="6">
        <f t="shared" si="30"/>
        <v>3.99398212107584</v>
      </c>
      <c r="P249" s="5">
        <v>656130</v>
      </c>
      <c r="Q249" s="1">
        <f t="shared" si="31"/>
        <v>1.06142766088929</v>
      </c>
      <c r="S249" s="4">
        <f t="shared" si="24"/>
        <v>0.936579023403641</v>
      </c>
      <c r="T249" s="4">
        <f t="shared" si="25"/>
        <v>1.23697767601603</v>
      </c>
      <c r="U249" s="4">
        <f t="shared" si="26"/>
        <v>0.587973879920189</v>
      </c>
      <c r="V249" s="4">
        <f t="shared" si="27"/>
        <v>0.636055923473142</v>
      </c>
      <c r="W249" s="4">
        <f t="shared" si="28"/>
        <v>1.07969023232576</v>
      </c>
    </row>
    <row r="250" spans="1:23">
      <c r="A250" s="5" t="s">
        <v>267</v>
      </c>
      <c r="B250" s="5">
        <v>4361</v>
      </c>
      <c r="C250" s="5">
        <v>4361</v>
      </c>
      <c r="D250" s="5">
        <v>44840</v>
      </c>
      <c r="E250" s="5">
        <v>0.733</v>
      </c>
      <c r="F250" s="5">
        <v>0.727</v>
      </c>
      <c r="G250" s="5">
        <v>0.498</v>
      </c>
      <c r="H250" s="5">
        <v>0.923</v>
      </c>
      <c r="I250" s="5">
        <v>0.683</v>
      </c>
      <c r="J250" s="5">
        <v>0.699</v>
      </c>
      <c r="K250" s="5">
        <v>44840</v>
      </c>
      <c r="L250" s="5">
        <v>48440</v>
      </c>
      <c r="M250" s="6">
        <f t="shared" si="29"/>
        <v>1.08028545941124</v>
      </c>
      <c r="N250" s="5">
        <v>127512</v>
      </c>
      <c r="O250" s="6">
        <f t="shared" si="30"/>
        <v>2.84371097234612</v>
      </c>
      <c r="P250" s="5">
        <v>26782</v>
      </c>
      <c r="Q250" s="1">
        <f t="shared" si="31"/>
        <v>0.597279214986619</v>
      </c>
      <c r="S250" s="4">
        <f t="shared" si="24"/>
        <v>1.00825309491059</v>
      </c>
      <c r="T250" s="4">
        <f t="shared" si="25"/>
        <v>1.4718875502008</v>
      </c>
      <c r="U250" s="4">
        <f t="shared" si="26"/>
        <v>0.794149512459372</v>
      </c>
      <c r="V250" s="4">
        <f t="shared" si="27"/>
        <v>1.07320644216691</v>
      </c>
      <c r="W250" s="4">
        <f t="shared" si="28"/>
        <v>1.04864091559371</v>
      </c>
    </row>
    <row r="251" spans="1:23">
      <c r="A251" s="5" t="s">
        <v>268</v>
      </c>
      <c r="B251" s="5">
        <v>5082</v>
      </c>
      <c r="C251" s="5">
        <v>5082</v>
      </c>
      <c r="D251" s="5">
        <v>53219</v>
      </c>
      <c r="E251" s="5">
        <v>0.878</v>
      </c>
      <c r="F251" s="5">
        <v>0.87</v>
      </c>
      <c r="G251" s="5">
        <v>0.588</v>
      </c>
      <c r="H251" s="5">
        <v>1.117</v>
      </c>
      <c r="I251" s="5">
        <v>0.836</v>
      </c>
      <c r="J251" s="5">
        <v>0.838</v>
      </c>
      <c r="K251" s="5">
        <v>53219</v>
      </c>
      <c r="L251" s="5">
        <v>57276</v>
      </c>
      <c r="M251" s="6">
        <f t="shared" si="29"/>
        <v>1.07623217272027</v>
      </c>
      <c r="N251" s="5">
        <v>150296</v>
      </c>
      <c r="O251" s="6">
        <f t="shared" si="30"/>
        <v>2.82410417332156</v>
      </c>
      <c r="P251" s="5">
        <v>31624</v>
      </c>
      <c r="Q251" s="1">
        <f t="shared" si="31"/>
        <v>0.594223867415773</v>
      </c>
      <c r="S251" s="4">
        <f t="shared" si="24"/>
        <v>1.00919540229885</v>
      </c>
      <c r="T251" s="4">
        <f t="shared" si="25"/>
        <v>1.49319727891156</v>
      </c>
      <c r="U251" s="4">
        <f t="shared" si="26"/>
        <v>0.786034019695613</v>
      </c>
      <c r="V251" s="4">
        <f t="shared" si="27"/>
        <v>1.05023923444976</v>
      </c>
      <c r="W251" s="4">
        <f t="shared" si="28"/>
        <v>1.04773269689737</v>
      </c>
    </row>
    <row r="252" spans="1:23">
      <c r="A252" s="5" t="s">
        <v>269</v>
      </c>
      <c r="B252" s="5">
        <v>7105</v>
      </c>
      <c r="C252" s="5">
        <v>7105</v>
      </c>
      <c r="D252" s="5">
        <v>74869</v>
      </c>
      <c r="E252" s="5">
        <v>1.239</v>
      </c>
      <c r="F252" s="5">
        <v>1.212</v>
      </c>
      <c r="G252" s="5">
        <v>0.883</v>
      </c>
      <c r="H252" s="5">
        <v>1.567</v>
      </c>
      <c r="I252" s="5">
        <v>1.161</v>
      </c>
      <c r="J252" s="5">
        <v>1.194</v>
      </c>
      <c r="K252" s="5">
        <v>74869</v>
      </c>
      <c r="L252" s="5">
        <v>82048</v>
      </c>
      <c r="M252" s="6">
        <f t="shared" si="29"/>
        <v>1.09588748347113</v>
      </c>
      <c r="N252" s="5">
        <v>211196</v>
      </c>
      <c r="O252" s="6">
        <f t="shared" si="30"/>
        <v>2.82087379289158</v>
      </c>
      <c r="P252" s="5">
        <v>44396</v>
      </c>
      <c r="Q252" s="1">
        <f t="shared" si="31"/>
        <v>0.592982409274867</v>
      </c>
      <c r="S252" s="4">
        <f t="shared" si="24"/>
        <v>1.02227722772277</v>
      </c>
      <c r="T252" s="4">
        <f t="shared" si="25"/>
        <v>1.40317100792752</v>
      </c>
      <c r="U252" s="4">
        <f t="shared" si="26"/>
        <v>0.790682833439694</v>
      </c>
      <c r="V252" s="4">
        <f t="shared" si="27"/>
        <v>1.0671834625323</v>
      </c>
      <c r="W252" s="4">
        <f t="shared" si="28"/>
        <v>1.03768844221106</v>
      </c>
    </row>
    <row r="253" spans="1:23">
      <c r="A253" s="5" t="s">
        <v>270</v>
      </c>
      <c r="B253" s="5">
        <v>7641</v>
      </c>
      <c r="C253" s="5">
        <v>7641</v>
      </c>
      <c r="D253" s="5">
        <v>80767</v>
      </c>
      <c r="E253" s="5">
        <v>1.338</v>
      </c>
      <c r="F253" s="5">
        <v>1.305</v>
      </c>
      <c r="G253" s="5">
        <v>0.954</v>
      </c>
      <c r="H253" s="5">
        <v>1.684</v>
      </c>
      <c r="I253" s="5">
        <v>1.248</v>
      </c>
      <c r="J253" s="5">
        <v>1.254</v>
      </c>
      <c r="K253" s="5">
        <v>80767</v>
      </c>
      <c r="L253" s="5">
        <v>88496</v>
      </c>
      <c r="M253" s="6">
        <f t="shared" si="29"/>
        <v>1.0956950239578</v>
      </c>
      <c r="N253" s="5">
        <v>226900</v>
      </c>
      <c r="O253" s="6">
        <f t="shared" si="30"/>
        <v>2.8093156858618</v>
      </c>
      <c r="P253" s="5">
        <v>47922</v>
      </c>
      <c r="Q253" s="1">
        <f t="shared" si="31"/>
        <v>0.593336387385937</v>
      </c>
      <c r="S253" s="4">
        <f t="shared" si="24"/>
        <v>1.02528735632184</v>
      </c>
      <c r="T253" s="4">
        <f t="shared" si="25"/>
        <v>1.40251572327044</v>
      </c>
      <c r="U253" s="4">
        <f t="shared" si="26"/>
        <v>0.794536817102138</v>
      </c>
      <c r="V253" s="4">
        <f t="shared" si="27"/>
        <v>1.07211538461538</v>
      </c>
      <c r="W253" s="4">
        <f t="shared" si="28"/>
        <v>1.06698564593301</v>
      </c>
    </row>
    <row r="254" spans="1:23">
      <c r="A254" s="5" t="s">
        <v>271</v>
      </c>
      <c r="B254" s="5">
        <v>7773</v>
      </c>
      <c r="C254" s="5">
        <v>7773</v>
      </c>
      <c r="D254" s="5">
        <v>82500</v>
      </c>
      <c r="E254" s="5">
        <v>1.375</v>
      </c>
      <c r="F254" s="5">
        <v>1.339</v>
      </c>
      <c r="G254" s="5">
        <v>0.983</v>
      </c>
      <c r="H254" s="5">
        <v>1.702</v>
      </c>
      <c r="I254" s="5">
        <v>1.281</v>
      </c>
      <c r="J254" s="5">
        <v>1.287</v>
      </c>
      <c r="K254" s="5">
        <v>82500</v>
      </c>
      <c r="L254" s="5">
        <v>90168</v>
      </c>
      <c r="M254" s="6">
        <f t="shared" si="29"/>
        <v>1.09294545454545</v>
      </c>
      <c r="N254" s="5">
        <v>231284</v>
      </c>
      <c r="O254" s="6">
        <f t="shared" si="30"/>
        <v>2.80344242424242</v>
      </c>
      <c r="P254" s="5">
        <v>48880</v>
      </c>
      <c r="Q254" s="1">
        <f t="shared" si="31"/>
        <v>0.592484848484849</v>
      </c>
      <c r="S254" s="4">
        <f t="shared" si="24"/>
        <v>1.0268857356236</v>
      </c>
      <c r="T254" s="4">
        <f t="shared" si="25"/>
        <v>1.39877924720244</v>
      </c>
      <c r="U254" s="4">
        <f t="shared" si="26"/>
        <v>0.807873090481786</v>
      </c>
      <c r="V254" s="4">
        <f t="shared" si="27"/>
        <v>1.07338017174083</v>
      </c>
      <c r="W254" s="4">
        <f t="shared" si="28"/>
        <v>1.06837606837607</v>
      </c>
    </row>
    <row r="255" spans="1:23">
      <c r="A255" s="5" t="s">
        <v>272</v>
      </c>
      <c r="B255" s="5">
        <v>7968</v>
      </c>
      <c r="C255" s="5">
        <v>7968</v>
      </c>
      <c r="D255" s="5">
        <v>84508</v>
      </c>
      <c r="E255" s="5">
        <v>1.418</v>
      </c>
      <c r="F255" s="5">
        <v>1.396</v>
      </c>
      <c r="G255" s="5">
        <v>0.99</v>
      </c>
      <c r="H255" s="5">
        <v>1.758</v>
      </c>
      <c r="I255" s="5">
        <v>1.304</v>
      </c>
      <c r="J255" s="5">
        <v>1.33</v>
      </c>
      <c r="K255" s="5">
        <v>84508</v>
      </c>
      <c r="L255" s="5">
        <v>92224</v>
      </c>
      <c r="M255" s="6">
        <f t="shared" si="29"/>
        <v>1.09130496521039</v>
      </c>
      <c r="N255" s="5">
        <v>237032</v>
      </c>
      <c r="O255" s="6">
        <f t="shared" si="30"/>
        <v>2.80484687840204</v>
      </c>
      <c r="P255" s="5">
        <v>49998</v>
      </c>
      <c r="Q255" s="1">
        <f t="shared" si="31"/>
        <v>0.591636294788659</v>
      </c>
      <c r="S255" s="4">
        <f t="shared" si="24"/>
        <v>1.01575931232092</v>
      </c>
      <c r="T255" s="4">
        <f t="shared" si="25"/>
        <v>1.43232323232323</v>
      </c>
      <c r="U255" s="4">
        <f t="shared" si="26"/>
        <v>0.806598407281001</v>
      </c>
      <c r="V255" s="4">
        <f t="shared" si="27"/>
        <v>1.08742331288344</v>
      </c>
      <c r="W255" s="4">
        <f t="shared" si="28"/>
        <v>1.06616541353383</v>
      </c>
    </row>
    <row r="256" spans="1:23">
      <c r="A256" s="5" t="s">
        <v>273</v>
      </c>
      <c r="B256" s="5">
        <v>8052</v>
      </c>
      <c r="C256" s="5">
        <v>8052</v>
      </c>
      <c r="D256" s="5">
        <v>85194</v>
      </c>
      <c r="E256" s="5">
        <v>1.441</v>
      </c>
      <c r="F256" s="5">
        <v>1.464</v>
      </c>
      <c r="G256" s="5">
        <v>0.998</v>
      </c>
      <c r="H256" s="5">
        <v>1.783</v>
      </c>
      <c r="I256" s="5">
        <v>1.299</v>
      </c>
      <c r="J256" s="5">
        <v>1.336</v>
      </c>
      <c r="K256" s="5">
        <v>85194</v>
      </c>
      <c r="L256" s="5">
        <v>92928</v>
      </c>
      <c r="M256" s="6">
        <f t="shared" si="29"/>
        <v>1.09078104091837</v>
      </c>
      <c r="N256" s="5">
        <v>239024</v>
      </c>
      <c r="O256" s="6">
        <f t="shared" si="30"/>
        <v>2.80564358992417</v>
      </c>
      <c r="P256" s="5">
        <v>50466</v>
      </c>
      <c r="Q256" s="1">
        <f t="shared" si="31"/>
        <v>0.59236565955349</v>
      </c>
      <c r="S256" s="4">
        <f t="shared" si="24"/>
        <v>0.984289617486339</v>
      </c>
      <c r="T256" s="4">
        <f t="shared" si="25"/>
        <v>1.4438877755511</v>
      </c>
      <c r="U256" s="4">
        <f t="shared" si="26"/>
        <v>0.808188446438587</v>
      </c>
      <c r="V256" s="4">
        <f t="shared" si="27"/>
        <v>1.10931485758276</v>
      </c>
      <c r="W256" s="4">
        <f t="shared" si="28"/>
        <v>1.07859281437126</v>
      </c>
    </row>
    <row r="257" spans="1:23">
      <c r="A257" s="5" t="s">
        <v>274</v>
      </c>
      <c r="B257" s="5">
        <v>8115</v>
      </c>
      <c r="C257" s="5">
        <v>8115</v>
      </c>
      <c r="D257" s="5">
        <v>86183</v>
      </c>
      <c r="E257" s="5">
        <v>1.446</v>
      </c>
      <c r="F257" s="5">
        <v>1.413</v>
      </c>
      <c r="G257" s="5">
        <v>1.044</v>
      </c>
      <c r="H257" s="5">
        <v>1.789</v>
      </c>
      <c r="I257" s="5">
        <v>1.319</v>
      </c>
      <c r="J257" s="5">
        <v>1.362</v>
      </c>
      <c r="K257" s="5">
        <v>86183</v>
      </c>
      <c r="L257" s="5">
        <v>93968</v>
      </c>
      <c r="M257" s="6">
        <f t="shared" si="29"/>
        <v>1.09033103976422</v>
      </c>
      <c r="N257" s="5">
        <v>241596</v>
      </c>
      <c r="O257" s="6">
        <f t="shared" si="30"/>
        <v>2.80329067217433</v>
      </c>
      <c r="P257" s="5">
        <v>50978</v>
      </c>
      <c r="Q257" s="1">
        <f t="shared" si="31"/>
        <v>0.591508766229999</v>
      </c>
      <c r="S257" s="4">
        <f t="shared" si="24"/>
        <v>1.02335456475584</v>
      </c>
      <c r="T257" s="4">
        <f t="shared" si="25"/>
        <v>1.38505747126437</v>
      </c>
      <c r="U257" s="4">
        <f t="shared" si="26"/>
        <v>0.808272778088318</v>
      </c>
      <c r="V257" s="4">
        <f t="shared" si="27"/>
        <v>1.09628506444276</v>
      </c>
      <c r="W257" s="4">
        <f t="shared" si="28"/>
        <v>1.06167400881057</v>
      </c>
    </row>
    <row r="258" spans="1:23">
      <c r="A258" s="5" t="s">
        <v>275</v>
      </c>
      <c r="B258" s="5">
        <v>2063494</v>
      </c>
      <c r="C258" s="5">
        <v>2063494</v>
      </c>
      <c r="D258" s="5">
        <v>14612663</v>
      </c>
      <c r="E258" s="5">
        <v>388.625</v>
      </c>
      <c r="F258" s="5">
        <v>398.647</v>
      </c>
      <c r="G258" s="5">
        <v>305.817</v>
      </c>
      <c r="H258" s="5">
        <v>673.692</v>
      </c>
      <c r="I258" s="5">
        <v>432.288</v>
      </c>
      <c r="J258" s="5">
        <v>351.959</v>
      </c>
      <c r="K258" s="5">
        <v>14612663</v>
      </c>
      <c r="L258" s="5">
        <v>14740084</v>
      </c>
      <c r="M258" s="6">
        <f t="shared" si="29"/>
        <v>1.00871990273094</v>
      </c>
      <c r="N258" s="5">
        <v>58103484</v>
      </c>
      <c r="O258" s="6">
        <f t="shared" si="30"/>
        <v>3.97624197588078</v>
      </c>
      <c r="P258" s="5">
        <v>12368110</v>
      </c>
      <c r="Q258" s="1">
        <f t="shared" si="31"/>
        <v>0.846396717696152</v>
      </c>
      <c r="S258" s="4">
        <f t="shared" ref="S258:S321" si="32">E258/F258</f>
        <v>0.974859963827647</v>
      </c>
      <c r="T258" s="4">
        <f t="shared" ref="T258:T321" si="33">E258/G258</f>
        <v>1.27077631393938</v>
      </c>
      <c r="U258" s="4">
        <f t="shared" ref="U258:U321" si="34">E258/H258</f>
        <v>0.576858564447849</v>
      </c>
      <c r="V258" s="4">
        <f t="shared" ref="V258:V321" si="35">E258/I258</f>
        <v>0.898995577022726</v>
      </c>
      <c r="W258" s="4">
        <f t="shared" ref="W258:W321" si="36">E258/J258</f>
        <v>1.10417690696928</v>
      </c>
    </row>
    <row r="259" spans="1:23">
      <c r="A259" s="5" t="s">
        <v>276</v>
      </c>
      <c r="B259" s="5">
        <v>10000</v>
      </c>
      <c r="C259" s="5">
        <v>10000</v>
      </c>
      <c r="D259" s="5">
        <v>156932</v>
      </c>
      <c r="E259" s="5">
        <v>2.625</v>
      </c>
      <c r="F259" s="5">
        <v>2.701</v>
      </c>
      <c r="G259" s="5">
        <v>1.735</v>
      </c>
      <c r="H259" s="5">
        <v>4.51</v>
      </c>
      <c r="I259" s="5">
        <v>4.047</v>
      </c>
      <c r="J259" s="5">
        <v>2.639</v>
      </c>
      <c r="K259" s="5">
        <v>156932</v>
      </c>
      <c r="L259" s="5">
        <v>160008</v>
      </c>
      <c r="M259" s="6">
        <f t="shared" ref="M259:M322" si="37">L259/K259</f>
        <v>1.01960084622639</v>
      </c>
      <c r="N259" s="5">
        <v>624156</v>
      </c>
      <c r="O259" s="6">
        <f t="shared" ref="O259:O322" si="38">N259/K259</f>
        <v>3.97723854918054</v>
      </c>
      <c r="P259" s="5">
        <v>166388</v>
      </c>
      <c r="Q259" s="1">
        <f t="shared" ref="Q259:Q322" si="39">P259/K259</f>
        <v>1.06025539724212</v>
      </c>
      <c r="S259" s="4">
        <f t="shared" si="32"/>
        <v>0.971862273232136</v>
      </c>
      <c r="T259" s="4">
        <f t="shared" si="33"/>
        <v>1.51296829971182</v>
      </c>
      <c r="U259" s="4">
        <f t="shared" si="34"/>
        <v>0.582039911308204</v>
      </c>
      <c r="V259" s="4">
        <f t="shared" si="35"/>
        <v>0.648628613787991</v>
      </c>
      <c r="W259" s="4">
        <f t="shared" si="36"/>
        <v>0.994694960212202</v>
      </c>
    </row>
    <row r="260" spans="1:23">
      <c r="A260" s="5" t="s">
        <v>277</v>
      </c>
      <c r="B260" s="5">
        <v>7102</v>
      </c>
      <c r="C260" s="5">
        <v>7102</v>
      </c>
      <c r="D260" s="5">
        <v>340200</v>
      </c>
      <c r="E260" s="5">
        <v>5.405</v>
      </c>
      <c r="F260" s="5">
        <v>4.337</v>
      </c>
      <c r="G260" s="5">
        <v>3.706</v>
      </c>
      <c r="H260" s="5">
        <v>2.426</v>
      </c>
      <c r="I260" s="5">
        <v>2.814</v>
      </c>
      <c r="J260" s="5">
        <v>3.636</v>
      </c>
      <c r="K260" s="5">
        <v>340200</v>
      </c>
      <c r="L260" s="5">
        <v>341160</v>
      </c>
      <c r="M260" s="6">
        <f t="shared" si="37"/>
        <v>1.00282186948854</v>
      </c>
      <c r="N260" s="5">
        <v>361856</v>
      </c>
      <c r="O260" s="6">
        <f t="shared" si="38"/>
        <v>1.06365667254556</v>
      </c>
      <c r="P260" s="5">
        <v>177200</v>
      </c>
      <c r="Q260" s="1">
        <f t="shared" si="39"/>
        <v>0.520870076425632</v>
      </c>
      <c r="S260" s="4">
        <f t="shared" si="32"/>
        <v>1.24625317039428</v>
      </c>
      <c r="T260" s="4">
        <f t="shared" si="33"/>
        <v>1.45844576362655</v>
      </c>
      <c r="U260" s="4">
        <f t="shared" si="34"/>
        <v>2.22794723825227</v>
      </c>
      <c r="V260" s="4">
        <f t="shared" si="35"/>
        <v>1.92075337597726</v>
      </c>
      <c r="W260" s="4">
        <f t="shared" si="36"/>
        <v>1.48652365236524</v>
      </c>
    </row>
    <row r="261" spans="1:23">
      <c r="A261" s="5" t="s">
        <v>278</v>
      </c>
      <c r="B261" s="5">
        <v>3002</v>
      </c>
      <c r="C261" s="5">
        <v>3002</v>
      </c>
      <c r="D261" s="5">
        <v>9000</v>
      </c>
      <c r="E261" s="5">
        <v>0.264</v>
      </c>
      <c r="F261" s="5">
        <v>0.188</v>
      </c>
      <c r="G261" s="5">
        <v>0.106</v>
      </c>
      <c r="H261" s="5">
        <v>0.416</v>
      </c>
      <c r="I261" s="5">
        <v>0.241</v>
      </c>
      <c r="J261" s="5">
        <v>0.201</v>
      </c>
      <c r="K261" s="5">
        <v>9000</v>
      </c>
      <c r="L261" s="5">
        <v>9000</v>
      </c>
      <c r="M261" s="6">
        <f t="shared" si="37"/>
        <v>1</v>
      </c>
      <c r="N261" s="5">
        <v>20008</v>
      </c>
      <c r="O261" s="6">
        <f t="shared" si="38"/>
        <v>2.22311111111111</v>
      </c>
      <c r="P261" s="5">
        <v>7004</v>
      </c>
      <c r="Q261" s="1">
        <f t="shared" si="39"/>
        <v>0.778222222222222</v>
      </c>
      <c r="S261" s="4">
        <f t="shared" si="32"/>
        <v>1.40425531914894</v>
      </c>
      <c r="T261" s="4">
        <f t="shared" si="33"/>
        <v>2.49056603773585</v>
      </c>
      <c r="U261" s="4">
        <f t="shared" si="34"/>
        <v>0.634615384615385</v>
      </c>
      <c r="V261" s="4">
        <f t="shared" si="35"/>
        <v>1.0954356846473</v>
      </c>
      <c r="W261" s="4">
        <f t="shared" si="36"/>
        <v>1.3134328358209</v>
      </c>
    </row>
    <row r="262" spans="1:23">
      <c r="A262" s="5" t="s">
        <v>279</v>
      </c>
      <c r="B262" s="5">
        <v>952203</v>
      </c>
      <c r="C262" s="5">
        <v>952203</v>
      </c>
      <c r="D262" s="5">
        <v>46522475</v>
      </c>
      <c r="E262" s="5">
        <v>972.389</v>
      </c>
      <c r="F262" s="5">
        <v>878.882</v>
      </c>
      <c r="G262" s="5">
        <v>832.281</v>
      </c>
      <c r="H262" s="5">
        <v>585.003</v>
      </c>
      <c r="I262" s="5">
        <v>637.404</v>
      </c>
      <c r="J262" s="5">
        <v>591.735</v>
      </c>
      <c r="K262" s="5">
        <v>46522475</v>
      </c>
      <c r="L262" s="5">
        <v>46601776</v>
      </c>
      <c r="M262" s="6">
        <f t="shared" si="37"/>
        <v>1.00170457397204</v>
      </c>
      <c r="N262" s="5">
        <v>52850644</v>
      </c>
      <c r="O262" s="6">
        <f t="shared" si="38"/>
        <v>1.13602391102365</v>
      </c>
      <c r="P262" s="5">
        <v>24339026</v>
      </c>
      <c r="Q262" s="1">
        <f t="shared" si="39"/>
        <v>0.523167049904374</v>
      </c>
      <c r="S262" s="4">
        <f t="shared" si="32"/>
        <v>1.10639312217112</v>
      </c>
      <c r="T262" s="4">
        <f t="shared" si="33"/>
        <v>1.16834218250807</v>
      </c>
      <c r="U262" s="4">
        <f t="shared" si="34"/>
        <v>1.66219489472704</v>
      </c>
      <c r="V262" s="4">
        <f t="shared" si="35"/>
        <v>1.52554580768241</v>
      </c>
      <c r="W262" s="4">
        <f t="shared" si="36"/>
        <v>1.6432845784008</v>
      </c>
    </row>
    <row r="263" spans="1:23">
      <c r="A263" s="5" t="s">
        <v>280</v>
      </c>
      <c r="B263" s="5">
        <v>19998</v>
      </c>
      <c r="C263" s="5">
        <v>19998</v>
      </c>
      <c r="D263" s="5">
        <v>99982</v>
      </c>
      <c r="E263" s="5">
        <v>1.72</v>
      </c>
      <c r="F263" s="5">
        <v>2.212</v>
      </c>
      <c r="G263" s="5">
        <v>1.229</v>
      </c>
      <c r="H263" s="5">
        <v>3.524</v>
      </c>
      <c r="I263" s="5">
        <v>2.097</v>
      </c>
      <c r="J263" s="5">
        <v>1.535</v>
      </c>
      <c r="K263" s="5">
        <v>99982</v>
      </c>
      <c r="L263" s="5">
        <v>99980</v>
      </c>
      <c r="M263" s="6">
        <f t="shared" si="37"/>
        <v>0.999979996399352</v>
      </c>
      <c r="N263" s="5">
        <v>159976</v>
      </c>
      <c r="O263" s="6">
        <f t="shared" si="38"/>
        <v>1.60004800864156</v>
      </c>
      <c r="P263" s="5">
        <v>59992</v>
      </c>
      <c r="Q263" s="1">
        <f t="shared" si="39"/>
        <v>0.600028005040907</v>
      </c>
      <c r="S263" s="4">
        <f t="shared" si="32"/>
        <v>0.777576853526221</v>
      </c>
      <c r="T263" s="4">
        <f t="shared" si="33"/>
        <v>1.39951179820993</v>
      </c>
      <c r="U263" s="4">
        <f t="shared" si="34"/>
        <v>0.488081725312145</v>
      </c>
      <c r="V263" s="4">
        <f t="shared" si="35"/>
        <v>0.820219360991893</v>
      </c>
      <c r="W263" s="4">
        <f t="shared" si="36"/>
        <v>1.12052117263844</v>
      </c>
    </row>
    <row r="264" spans="1:23">
      <c r="A264" s="5" t="s">
        <v>281</v>
      </c>
      <c r="B264" s="5">
        <v>19994</v>
      </c>
      <c r="C264" s="5">
        <v>19994</v>
      </c>
      <c r="D264" s="5">
        <v>79966</v>
      </c>
      <c r="E264" s="5">
        <v>1.371</v>
      </c>
      <c r="F264" s="5">
        <v>2.032</v>
      </c>
      <c r="G264" s="5">
        <v>1</v>
      </c>
      <c r="H264" s="5">
        <v>2.203</v>
      </c>
      <c r="I264" s="5">
        <v>1.903</v>
      </c>
      <c r="J264" s="5">
        <v>1.28</v>
      </c>
      <c r="K264" s="5">
        <v>79966</v>
      </c>
      <c r="L264" s="5">
        <v>79972</v>
      </c>
      <c r="M264" s="6">
        <f t="shared" si="37"/>
        <v>1.00007503188855</v>
      </c>
      <c r="N264" s="5">
        <v>239888</v>
      </c>
      <c r="O264" s="6">
        <f t="shared" si="38"/>
        <v>2.99987494685241</v>
      </c>
      <c r="P264" s="5">
        <v>59976</v>
      </c>
      <c r="Q264" s="1">
        <f t="shared" si="39"/>
        <v>0.750018757972138</v>
      </c>
      <c r="S264" s="4">
        <f t="shared" si="32"/>
        <v>0.674704724409449</v>
      </c>
      <c r="T264" s="4">
        <f t="shared" si="33"/>
        <v>1.371</v>
      </c>
      <c r="U264" s="4">
        <f t="shared" si="34"/>
        <v>0.622333182024512</v>
      </c>
      <c r="V264" s="4">
        <f t="shared" si="35"/>
        <v>0.72044140830268</v>
      </c>
      <c r="W264" s="4">
        <f t="shared" si="36"/>
        <v>1.07109375</v>
      </c>
    </row>
    <row r="265" spans="1:23">
      <c r="A265" s="5" t="s">
        <v>282</v>
      </c>
      <c r="B265" s="5">
        <v>256000</v>
      </c>
      <c r="C265" s="5">
        <v>256000</v>
      </c>
      <c r="D265" s="5">
        <v>1766400</v>
      </c>
      <c r="E265" s="5">
        <v>32.255</v>
      </c>
      <c r="F265" s="5">
        <v>40.062</v>
      </c>
      <c r="G265" s="5">
        <v>25.696</v>
      </c>
      <c r="H265" s="5">
        <v>81.987</v>
      </c>
      <c r="I265" s="5">
        <v>38.738</v>
      </c>
      <c r="J265" s="5">
        <v>32.163</v>
      </c>
      <c r="K265" s="5">
        <v>1766400</v>
      </c>
      <c r="L265" s="5">
        <v>1766968</v>
      </c>
      <c r="M265" s="6">
        <f t="shared" si="37"/>
        <v>1.00032155797101</v>
      </c>
      <c r="N265" s="5">
        <v>5043200</v>
      </c>
      <c r="O265" s="6">
        <f t="shared" si="38"/>
        <v>2.85507246376812</v>
      </c>
      <c r="P265" s="5">
        <v>1014400</v>
      </c>
      <c r="Q265" s="1">
        <f t="shared" si="39"/>
        <v>0.574275362318841</v>
      </c>
      <c r="S265" s="4">
        <f t="shared" si="32"/>
        <v>0.805127053067745</v>
      </c>
      <c r="T265" s="4">
        <f t="shared" si="33"/>
        <v>1.25525373599004</v>
      </c>
      <c r="U265" s="4">
        <f t="shared" si="34"/>
        <v>0.39341602937051</v>
      </c>
      <c r="V265" s="4">
        <f t="shared" si="35"/>
        <v>0.832644948112964</v>
      </c>
      <c r="W265" s="4">
        <f t="shared" si="36"/>
        <v>1.00286042968629</v>
      </c>
    </row>
    <row r="266" spans="1:23">
      <c r="A266" s="5" t="s">
        <v>283</v>
      </c>
      <c r="B266" s="5">
        <v>11999</v>
      </c>
      <c r="C266" s="5">
        <v>11999</v>
      </c>
      <c r="D266" s="5">
        <v>95977</v>
      </c>
      <c r="E266" s="5">
        <v>1.479</v>
      </c>
      <c r="F266" s="5">
        <v>1.715</v>
      </c>
      <c r="G266" s="5">
        <v>1.143</v>
      </c>
      <c r="H266" s="5">
        <v>1.535</v>
      </c>
      <c r="I266" s="5">
        <v>1.468</v>
      </c>
      <c r="J266" s="5">
        <v>1.442</v>
      </c>
      <c r="K266" s="5">
        <v>95977</v>
      </c>
      <c r="L266" s="5">
        <v>95972</v>
      </c>
      <c r="M266" s="6">
        <f t="shared" si="37"/>
        <v>0.999947904185378</v>
      </c>
      <c r="N266" s="5">
        <v>119976</v>
      </c>
      <c r="O266" s="6">
        <f t="shared" si="38"/>
        <v>1.25004949102389</v>
      </c>
      <c r="P266" s="5">
        <v>59986</v>
      </c>
      <c r="Q266" s="1">
        <f t="shared" si="39"/>
        <v>0.625003907186097</v>
      </c>
      <c r="S266" s="4">
        <f t="shared" si="32"/>
        <v>0.862390670553936</v>
      </c>
      <c r="T266" s="4">
        <f t="shared" si="33"/>
        <v>1.29396325459318</v>
      </c>
      <c r="U266" s="4">
        <f t="shared" si="34"/>
        <v>0.963517915309446</v>
      </c>
      <c r="V266" s="4">
        <f t="shared" si="35"/>
        <v>1.0074931880109</v>
      </c>
      <c r="W266" s="4">
        <f t="shared" si="36"/>
        <v>1.02565880721221</v>
      </c>
    </row>
    <row r="267" spans="1:23">
      <c r="A267" s="5" t="s">
        <v>284</v>
      </c>
      <c r="B267" s="5">
        <v>1470152</v>
      </c>
      <c r="C267" s="5">
        <v>1470152</v>
      </c>
      <c r="D267" s="5">
        <v>87088992</v>
      </c>
      <c r="E267" s="5">
        <v>1750.69</v>
      </c>
      <c r="F267" s="5">
        <v>1331.53</v>
      </c>
      <c r="G267" s="5">
        <v>1398.86</v>
      </c>
      <c r="H267" s="5">
        <v>825.156</v>
      </c>
      <c r="I267" s="5">
        <v>994.827</v>
      </c>
      <c r="J267" s="5">
        <v>964.703</v>
      </c>
      <c r="K267" s="5">
        <v>87088992</v>
      </c>
      <c r="L267" s="5">
        <v>87088992</v>
      </c>
      <c r="M267" s="6">
        <f t="shared" si="37"/>
        <v>1</v>
      </c>
      <c r="N267" s="5">
        <v>87088992</v>
      </c>
      <c r="O267" s="6">
        <f t="shared" si="38"/>
        <v>1</v>
      </c>
      <c r="P267" s="5">
        <v>45014648</v>
      </c>
      <c r="Q267" s="1">
        <f t="shared" si="39"/>
        <v>0.516881031301866</v>
      </c>
      <c r="S267" s="4">
        <f t="shared" si="32"/>
        <v>1.31479576126711</v>
      </c>
      <c r="T267" s="4">
        <f t="shared" si="33"/>
        <v>1.25151194544129</v>
      </c>
      <c r="U267" s="4">
        <f t="shared" si="34"/>
        <v>2.12164730063164</v>
      </c>
      <c r="V267" s="4">
        <f t="shared" si="35"/>
        <v>1.75979341131674</v>
      </c>
      <c r="W267" s="4">
        <f t="shared" si="36"/>
        <v>1.81474505625047</v>
      </c>
    </row>
    <row r="268" spans="1:23">
      <c r="A268" s="5" t="s">
        <v>285</v>
      </c>
      <c r="B268" s="5">
        <v>1470152</v>
      </c>
      <c r="C268" s="5">
        <v>1470152</v>
      </c>
      <c r="D268" s="5">
        <v>87088992</v>
      </c>
      <c r="E268" s="5">
        <v>1750.42</v>
      </c>
      <c r="F268" s="5">
        <v>1483.39</v>
      </c>
      <c r="G268" s="5">
        <v>1578.69</v>
      </c>
      <c r="H268" s="5">
        <v>814.741</v>
      </c>
      <c r="I268" s="5">
        <v>996.719</v>
      </c>
      <c r="J268" s="5">
        <v>961.362</v>
      </c>
      <c r="K268" s="5">
        <v>87088992</v>
      </c>
      <c r="L268" s="5">
        <v>87088992</v>
      </c>
      <c r="M268" s="6">
        <f t="shared" si="37"/>
        <v>1</v>
      </c>
      <c r="N268" s="5">
        <v>87088992</v>
      </c>
      <c r="O268" s="6">
        <f t="shared" si="38"/>
        <v>1</v>
      </c>
      <c r="P268" s="5">
        <v>45014648</v>
      </c>
      <c r="Q268" s="1">
        <f t="shared" si="39"/>
        <v>0.516881031301866</v>
      </c>
      <c r="S268" s="4">
        <f t="shared" si="32"/>
        <v>1.18001334780469</v>
      </c>
      <c r="T268" s="4">
        <f t="shared" si="33"/>
        <v>1.10878006448384</v>
      </c>
      <c r="U268" s="4">
        <f t="shared" si="34"/>
        <v>2.14843735616595</v>
      </c>
      <c r="V268" s="4">
        <f t="shared" si="35"/>
        <v>1.7561820332511</v>
      </c>
      <c r="W268" s="4">
        <f t="shared" si="36"/>
        <v>1.82077094788436</v>
      </c>
    </row>
    <row r="269" spans="1:23">
      <c r="A269" s="5" t="s">
        <v>286</v>
      </c>
      <c r="B269" s="5">
        <v>18260</v>
      </c>
      <c r="C269" s="5">
        <v>18260</v>
      </c>
      <c r="D269" s="5">
        <v>222005</v>
      </c>
      <c r="E269" s="5">
        <v>3.606</v>
      </c>
      <c r="F269" s="5">
        <v>3.706</v>
      </c>
      <c r="G269" s="5">
        <v>2.783</v>
      </c>
      <c r="H269" s="5">
        <v>4.418</v>
      </c>
      <c r="I269" s="5">
        <v>2.827</v>
      </c>
      <c r="J269" s="5">
        <v>3.589</v>
      </c>
      <c r="K269" s="5">
        <v>222005</v>
      </c>
      <c r="L269" s="5">
        <v>236496</v>
      </c>
      <c r="M269" s="6">
        <f t="shared" si="37"/>
        <v>1.0652733046553</v>
      </c>
      <c r="N269" s="5">
        <v>591076</v>
      </c>
      <c r="O269" s="6">
        <f t="shared" si="38"/>
        <v>2.6624445395374</v>
      </c>
      <c r="P269" s="5">
        <v>125036</v>
      </c>
      <c r="Q269" s="1">
        <f t="shared" si="39"/>
        <v>0.563212540258102</v>
      </c>
      <c r="S269" s="4">
        <f t="shared" si="32"/>
        <v>0.973016729627631</v>
      </c>
      <c r="T269" s="4">
        <f t="shared" si="33"/>
        <v>1.29572403880704</v>
      </c>
      <c r="U269" s="4">
        <f t="shared" si="34"/>
        <v>0.816206428248076</v>
      </c>
      <c r="V269" s="4">
        <f t="shared" si="35"/>
        <v>1.27555712769721</v>
      </c>
      <c r="W269" s="4">
        <f t="shared" si="36"/>
        <v>1.00473669545834</v>
      </c>
    </row>
    <row r="270" spans="1:23">
      <c r="A270" s="5" t="s">
        <v>287</v>
      </c>
      <c r="B270" s="5">
        <v>18368</v>
      </c>
      <c r="C270" s="5">
        <v>18368</v>
      </c>
      <c r="D270" s="5">
        <v>223801</v>
      </c>
      <c r="E270" s="5">
        <v>3.644</v>
      </c>
      <c r="F270" s="5">
        <v>3.734</v>
      </c>
      <c r="G270" s="5">
        <v>2.789</v>
      </c>
      <c r="H270" s="5">
        <v>4.402</v>
      </c>
      <c r="I270" s="5">
        <v>2.875</v>
      </c>
      <c r="J270" s="5">
        <v>3.323</v>
      </c>
      <c r="K270" s="5">
        <v>223801</v>
      </c>
      <c r="L270" s="5">
        <v>238380</v>
      </c>
      <c r="M270" s="6">
        <f t="shared" si="37"/>
        <v>1.06514269373238</v>
      </c>
      <c r="N270" s="5">
        <v>594728</v>
      </c>
      <c r="O270" s="6">
        <f t="shared" si="38"/>
        <v>2.65739652637835</v>
      </c>
      <c r="P270" s="5">
        <v>125968</v>
      </c>
      <c r="Q270" s="1">
        <f t="shared" si="39"/>
        <v>0.562857181156474</v>
      </c>
      <c r="S270" s="4">
        <f t="shared" si="32"/>
        <v>0.975897161221211</v>
      </c>
      <c r="T270" s="4">
        <f t="shared" si="33"/>
        <v>1.30656149157404</v>
      </c>
      <c r="U270" s="4">
        <f t="shared" si="34"/>
        <v>0.82780554293503</v>
      </c>
      <c r="V270" s="4">
        <f t="shared" si="35"/>
        <v>1.26747826086957</v>
      </c>
      <c r="W270" s="4">
        <f t="shared" si="36"/>
        <v>1.09659945832079</v>
      </c>
    </row>
    <row r="271" spans="1:23">
      <c r="A271" s="5" t="s">
        <v>288</v>
      </c>
      <c r="B271" s="5">
        <v>18458</v>
      </c>
      <c r="C271" s="5">
        <v>18458</v>
      </c>
      <c r="D271" s="5">
        <v>224593</v>
      </c>
      <c r="E271" s="5">
        <v>3.763</v>
      </c>
      <c r="F271" s="5">
        <v>3.879</v>
      </c>
      <c r="G271" s="5">
        <v>2.746</v>
      </c>
      <c r="H271" s="5">
        <v>4.507</v>
      </c>
      <c r="I271" s="5">
        <v>2.912</v>
      </c>
      <c r="J271" s="5">
        <v>3.317</v>
      </c>
      <c r="K271" s="5">
        <v>224593</v>
      </c>
      <c r="L271" s="5">
        <v>239204</v>
      </c>
      <c r="M271" s="6">
        <f t="shared" si="37"/>
        <v>1.06505545586906</v>
      </c>
      <c r="N271" s="5">
        <v>597240</v>
      </c>
      <c r="O271" s="6">
        <f t="shared" si="38"/>
        <v>2.6592102158126</v>
      </c>
      <c r="P271" s="5">
        <v>126438</v>
      </c>
      <c r="Q271" s="1">
        <f t="shared" si="39"/>
        <v>0.562965007814135</v>
      </c>
      <c r="S271" s="4">
        <f t="shared" si="32"/>
        <v>0.97009538540861</v>
      </c>
      <c r="T271" s="4">
        <f t="shared" si="33"/>
        <v>1.37035688273853</v>
      </c>
      <c r="U271" s="4">
        <f t="shared" si="34"/>
        <v>0.834923452407366</v>
      </c>
      <c r="V271" s="4">
        <f t="shared" si="35"/>
        <v>1.29223901098901</v>
      </c>
      <c r="W271" s="4">
        <f t="shared" si="36"/>
        <v>1.13445884835695</v>
      </c>
    </row>
    <row r="272" spans="1:23">
      <c r="A272" s="5" t="s">
        <v>289</v>
      </c>
      <c r="B272" s="5">
        <v>18476</v>
      </c>
      <c r="C272" s="5">
        <v>18476</v>
      </c>
      <c r="D272" s="5">
        <v>224897</v>
      </c>
      <c r="E272" s="5">
        <v>3.796</v>
      </c>
      <c r="F272" s="5">
        <v>3.906</v>
      </c>
      <c r="G272" s="5">
        <v>2.691</v>
      </c>
      <c r="H272" s="5">
        <v>4.396</v>
      </c>
      <c r="I272" s="5">
        <v>2.931</v>
      </c>
      <c r="J272" s="5">
        <v>3.377</v>
      </c>
      <c r="K272" s="5">
        <v>224897</v>
      </c>
      <c r="L272" s="5">
        <v>239544</v>
      </c>
      <c r="M272" s="6">
        <f t="shared" si="37"/>
        <v>1.065127591742</v>
      </c>
      <c r="N272" s="5">
        <v>597828</v>
      </c>
      <c r="O272" s="6">
        <f t="shared" si="38"/>
        <v>2.65823021205263</v>
      </c>
      <c r="P272" s="5">
        <v>126598</v>
      </c>
      <c r="Q272" s="1">
        <f t="shared" si="39"/>
        <v>0.562915467969782</v>
      </c>
      <c r="S272" s="4">
        <f t="shared" si="32"/>
        <v>0.971838197644649</v>
      </c>
      <c r="T272" s="4">
        <f t="shared" si="33"/>
        <v>1.41062801932367</v>
      </c>
      <c r="U272" s="4">
        <f t="shared" si="34"/>
        <v>0.863512283894449</v>
      </c>
      <c r="V272" s="4">
        <f t="shared" si="35"/>
        <v>1.29512111907199</v>
      </c>
      <c r="W272" s="4">
        <f t="shared" si="36"/>
        <v>1.12407462244596</v>
      </c>
    </row>
    <row r="273" spans="1:23">
      <c r="A273" s="5" t="s">
        <v>290</v>
      </c>
      <c r="B273" s="5">
        <v>7064</v>
      </c>
      <c r="C273" s="5">
        <v>7064</v>
      </c>
      <c r="D273" s="5">
        <v>80645</v>
      </c>
      <c r="E273" s="5">
        <v>1.218</v>
      </c>
      <c r="F273" s="5">
        <v>1.298</v>
      </c>
      <c r="G273" s="5">
        <v>0.919</v>
      </c>
      <c r="H273" s="5">
        <v>1.537</v>
      </c>
      <c r="I273" s="5">
        <v>1.003</v>
      </c>
      <c r="J273" s="5">
        <v>1.213</v>
      </c>
      <c r="K273" s="5">
        <v>80645</v>
      </c>
      <c r="L273" s="5">
        <v>86248</v>
      </c>
      <c r="M273" s="6">
        <f t="shared" si="37"/>
        <v>1.06947733895468</v>
      </c>
      <c r="N273" s="5">
        <v>221080</v>
      </c>
      <c r="O273" s="6">
        <f t="shared" si="38"/>
        <v>2.74139748279497</v>
      </c>
      <c r="P273" s="5">
        <v>45492</v>
      </c>
      <c r="Q273" s="1">
        <f t="shared" si="39"/>
        <v>0.564101928203856</v>
      </c>
      <c r="S273" s="4">
        <f t="shared" si="32"/>
        <v>0.938366718027735</v>
      </c>
      <c r="T273" s="4">
        <f t="shared" si="33"/>
        <v>1.32535364526659</v>
      </c>
      <c r="U273" s="4">
        <f t="shared" si="34"/>
        <v>0.792452830188679</v>
      </c>
      <c r="V273" s="4">
        <f t="shared" si="35"/>
        <v>1.21435692921236</v>
      </c>
      <c r="W273" s="4">
        <f t="shared" si="36"/>
        <v>1.00412201154163</v>
      </c>
    </row>
    <row r="274" spans="1:23">
      <c r="A274" s="5" t="s">
        <v>291</v>
      </c>
      <c r="B274" s="5">
        <v>13562</v>
      </c>
      <c r="C274" s="5">
        <v>13562</v>
      </c>
      <c r="D274" s="5">
        <v>160947</v>
      </c>
      <c r="E274" s="5">
        <v>2.554</v>
      </c>
      <c r="F274" s="5">
        <v>2.661</v>
      </c>
      <c r="G274" s="5">
        <v>2.036</v>
      </c>
      <c r="H274" s="5">
        <v>3.176</v>
      </c>
      <c r="I274" s="5">
        <v>2.051</v>
      </c>
      <c r="J274" s="5">
        <v>2.32</v>
      </c>
      <c r="K274" s="5">
        <v>160947</v>
      </c>
      <c r="L274" s="5">
        <v>171728</v>
      </c>
      <c r="M274" s="6">
        <f t="shared" si="37"/>
        <v>1.06698478381082</v>
      </c>
      <c r="N274" s="5">
        <v>431956</v>
      </c>
      <c r="O274" s="6">
        <f t="shared" si="38"/>
        <v>2.68384002187055</v>
      </c>
      <c r="P274" s="5">
        <v>90466</v>
      </c>
      <c r="Q274" s="1">
        <f t="shared" si="39"/>
        <v>0.562085655526353</v>
      </c>
      <c r="S274" s="4">
        <f t="shared" si="32"/>
        <v>0.959789552799699</v>
      </c>
      <c r="T274" s="4">
        <f t="shared" si="33"/>
        <v>1.25442043222004</v>
      </c>
      <c r="U274" s="4">
        <f t="shared" si="34"/>
        <v>0.804156171284635</v>
      </c>
      <c r="V274" s="4">
        <f t="shared" si="35"/>
        <v>1.24524622135544</v>
      </c>
      <c r="W274" s="4">
        <f t="shared" si="36"/>
        <v>1.10086206896552</v>
      </c>
    </row>
    <row r="275" spans="1:23">
      <c r="A275" s="5" t="s">
        <v>292</v>
      </c>
      <c r="B275" s="5">
        <v>16262</v>
      </c>
      <c r="C275" s="5">
        <v>16262</v>
      </c>
      <c r="D275" s="5">
        <v>198369</v>
      </c>
      <c r="E275" s="5">
        <v>3.207</v>
      </c>
      <c r="F275" s="5">
        <v>3.308</v>
      </c>
      <c r="G275" s="5">
        <v>2.406</v>
      </c>
      <c r="H275" s="5">
        <v>3.982</v>
      </c>
      <c r="I275" s="5">
        <v>2.562</v>
      </c>
      <c r="J275" s="5">
        <v>2.915</v>
      </c>
      <c r="K275" s="5">
        <v>198369</v>
      </c>
      <c r="L275" s="5">
        <v>211276</v>
      </c>
      <c r="M275" s="6">
        <f t="shared" si="37"/>
        <v>1.06506561004996</v>
      </c>
      <c r="N275" s="5">
        <v>526616</v>
      </c>
      <c r="O275" s="6">
        <f t="shared" si="38"/>
        <v>2.6547293175849</v>
      </c>
      <c r="P275" s="5">
        <v>111672</v>
      </c>
      <c r="Q275" s="1">
        <f t="shared" si="39"/>
        <v>0.562950864298353</v>
      </c>
      <c r="S275" s="4">
        <f t="shared" si="32"/>
        <v>0.969467956469166</v>
      </c>
      <c r="T275" s="4">
        <f t="shared" si="33"/>
        <v>1.33291770573566</v>
      </c>
      <c r="U275" s="4">
        <f t="shared" si="34"/>
        <v>0.805374183827222</v>
      </c>
      <c r="V275" s="4">
        <f t="shared" si="35"/>
        <v>1.25175644028103</v>
      </c>
      <c r="W275" s="4">
        <f t="shared" si="36"/>
        <v>1.10017152658662</v>
      </c>
    </row>
    <row r="276" spans="1:23">
      <c r="A276" s="5" t="s">
        <v>293</v>
      </c>
      <c r="B276" s="5">
        <v>16928</v>
      </c>
      <c r="C276" s="5">
        <v>16928</v>
      </c>
      <c r="D276" s="5">
        <v>207349</v>
      </c>
      <c r="E276" s="5">
        <v>3.358</v>
      </c>
      <c r="F276" s="5">
        <v>3.438</v>
      </c>
      <c r="G276" s="5">
        <v>2.576</v>
      </c>
      <c r="H276" s="5">
        <v>4.051</v>
      </c>
      <c r="I276" s="5">
        <v>2.666</v>
      </c>
      <c r="J276" s="5">
        <v>3.089</v>
      </c>
      <c r="K276" s="5">
        <v>207349</v>
      </c>
      <c r="L276" s="5">
        <v>220744</v>
      </c>
      <c r="M276" s="6">
        <f t="shared" si="37"/>
        <v>1.06460122788149</v>
      </c>
      <c r="N276" s="5">
        <v>549332</v>
      </c>
      <c r="O276" s="6">
        <f t="shared" si="38"/>
        <v>2.64931106491953</v>
      </c>
      <c r="P276" s="5">
        <v>116686</v>
      </c>
      <c r="Q276" s="1">
        <f t="shared" si="39"/>
        <v>0.562751689181043</v>
      </c>
      <c r="S276" s="4">
        <f t="shared" si="32"/>
        <v>0.97673065735893</v>
      </c>
      <c r="T276" s="4">
        <f t="shared" si="33"/>
        <v>1.30357142857143</v>
      </c>
      <c r="U276" s="4">
        <f t="shared" si="34"/>
        <v>0.828931128116514</v>
      </c>
      <c r="V276" s="4">
        <f t="shared" si="35"/>
        <v>1.25956489122281</v>
      </c>
      <c r="W276" s="4">
        <f t="shared" si="36"/>
        <v>1.0870831984461</v>
      </c>
    </row>
    <row r="277" spans="1:23">
      <c r="A277" s="5" t="s">
        <v>294</v>
      </c>
      <c r="B277" s="5">
        <v>17378</v>
      </c>
      <c r="C277" s="5">
        <v>17378</v>
      </c>
      <c r="D277" s="5">
        <v>211561</v>
      </c>
      <c r="E277" s="5">
        <v>3.398</v>
      </c>
      <c r="F277" s="5">
        <v>3.488</v>
      </c>
      <c r="G277" s="5">
        <v>2.561</v>
      </c>
      <c r="H277" s="5">
        <v>4.261</v>
      </c>
      <c r="I277" s="5">
        <v>2.714</v>
      </c>
      <c r="J277" s="5">
        <v>3.181</v>
      </c>
      <c r="K277" s="5">
        <v>211561</v>
      </c>
      <c r="L277" s="5">
        <v>225340</v>
      </c>
      <c r="M277" s="6">
        <f t="shared" si="37"/>
        <v>1.06513015158749</v>
      </c>
      <c r="N277" s="5">
        <v>562612</v>
      </c>
      <c r="O277" s="6">
        <f t="shared" si="38"/>
        <v>2.65933702336442</v>
      </c>
      <c r="P277" s="5">
        <v>119150</v>
      </c>
      <c r="Q277" s="1">
        <f t="shared" si="39"/>
        <v>0.563194539636322</v>
      </c>
      <c r="S277" s="4">
        <f t="shared" si="32"/>
        <v>0.974197247706422</v>
      </c>
      <c r="T277" s="4">
        <f t="shared" si="33"/>
        <v>1.32682545880515</v>
      </c>
      <c r="U277" s="4">
        <f t="shared" si="34"/>
        <v>0.797465383712743</v>
      </c>
      <c r="V277" s="4">
        <f t="shared" si="35"/>
        <v>1.25202652910833</v>
      </c>
      <c r="W277" s="4">
        <f t="shared" si="36"/>
        <v>1.06821754165357</v>
      </c>
    </row>
    <row r="278" spans="1:23">
      <c r="A278" s="5" t="s">
        <v>295</v>
      </c>
      <c r="B278" s="5">
        <v>17702</v>
      </c>
      <c r="C278" s="5">
        <v>17702</v>
      </c>
      <c r="D278" s="5">
        <v>216445</v>
      </c>
      <c r="E278" s="5">
        <v>3.59</v>
      </c>
      <c r="F278" s="5">
        <v>3.709</v>
      </c>
      <c r="G278" s="5">
        <v>2.587</v>
      </c>
      <c r="H278" s="5">
        <v>4.362</v>
      </c>
      <c r="I278" s="5">
        <v>2.746</v>
      </c>
      <c r="J278" s="5">
        <v>3.268</v>
      </c>
      <c r="K278" s="5">
        <v>216445</v>
      </c>
      <c r="L278" s="5">
        <v>230464</v>
      </c>
      <c r="M278" s="6">
        <f t="shared" si="37"/>
        <v>1.06476934094112</v>
      </c>
      <c r="N278" s="5">
        <v>574000</v>
      </c>
      <c r="O278" s="6">
        <f t="shared" si="38"/>
        <v>2.65194391184828</v>
      </c>
      <c r="P278" s="5">
        <v>121826</v>
      </c>
      <c r="Q278" s="1">
        <f t="shared" si="39"/>
        <v>0.562849684677401</v>
      </c>
      <c r="S278" s="4">
        <f t="shared" si="32"/>
        <v>0.967915880291184</v>
      </c>
      <c r="T278" s="4">
        <f t="shared" si="33"/>
        <v>1.38770776961732</v>
      </c>
      <c r="U278" s="4">
        <f t="shared" si="34"/>
        <v>0.823016964695094</v>
      </c>
      <c r="V278" s="4">
        <f t="shared" si="35"/>
        <v>1.30735615440641</v>
      </c>
      <c r="W278" s="4">
        <f t="shared" si="36"/>
        <v>1.09853121175031</v>
      </c>
    </row>
    <row r="279" spans="1:23">
      <c r="A279" s="5" t="s">
        <v>296</v>
      </c>
      <c r="B279" s="5">
        <v>18044</v>
      </c>
      <c r="C279" s="5">
        <v>18044</v>
      </c>
      <c r="D279" s="5">
        <v>219589</v>
      </c>
      <c r="E279" s="5">
        <v>3.569</v>
      </c>
      <c r="F279" s="5">
        <v>3.665</v>
      </c>
      <c r="G279" s="5">
        <v>2.699</v>
      </c>
      <c r="H279" s="5">
        <v>4.366</v>
      </c>
      <c r="I279" s="5">
        <v>2.839</v>
      </c>
      <c r="J279" s="5">
        <v>3.325</v>
      </c>
      <c r="K279" s="5">
        <v>219589</v>
      </c>
      <c r="L279" s="5">
        <v>233884</v>
      </c>
      <c r="M279" s="6">
        <f t="shared" si="37"/>
        <v>1.06509888928863</v>
      </c>
      <c r="N279" s="5">
        <v>583988</v>
      </c>
      <c r="O279" s="6">
        <f t="shared" si="38"/>
        <v>2.65945926253137</v>
      </c>
      <c r="P279" s="5">
        <v>123668</v>
      </c>
      <c r="Q279" s="1">
        <f t="shared" si="39"/>
        <v>0.563179394231952</v>
      </c>
      <c r="S279" s="4">
        <f t="shared" si="32"/>
        <v>0.973806275579809</v>
      </c>
      <c r="T279" s="4">
        <f t="shared" si="33"/>
        <v>1.32234160800296</v>
      </c>
      <c r="U279" s="4">
        <f t="shared" si="34"/>
        <v>0.817453046266606</v>
      </c>
      <c r="V279" s="4">
        <f t="shared" si="35"/>
        <v>1.25713279323706</v>
      </c>
      <c r="W279" s="4">
        <f t="shared" si="36"/>
        <v>1.07338345864662</v>
      </c>
    </row>
    <row r="280" spans="1:23">
      <c r="A280" s="5" t="s">
        <v>297</v>
      </c>
      <c r="B280" s="5">
        <v>11107</v>
      </c>
      <c r="C280" s="5">
        <v>11107</v>
      </c>
      <c r="D280" s="5">
        <v>6639</v>
      </c>
      <c r="E280" s="5">
        <v>0.212</v>
      </c>
      <c r="F280" s="5">
        <v>0.27</v>
      </c>
      <c r="G280" s="5">
        <v>0.16</v>
      </c>
      <c r="H280" s="5">
        <v>0.463</v>
      </c>
      <c r="I280" s="5">
        <v>0.579</v>
      </c>
      <c r="J280" s="5">
        <v>0.25</v>
      </c>
      <c r="K280" s="5">
        <v>6639</v>
      </c>
      <c r="L280" s="5">
        <v>6660</v>
      </c>
      <c r="M280" s="6">
        <f t="shared" si="37"/>
        <v>1.00316312697695</v>
      </c>
      <c r="N280" s="5">
        <v>26556</v>
      </c>
      <c r="O280" s="6">
        <f t="shared" si="38"/>
        <v>4</v>
      </c>
      <c r="P280" s="5">
        <v>11106</v>
      </c>
      <c r="Q280" s="1">
        <f t="shared" si="39"/>
        <v>1.67284229552643</v>
      </c>
      <c r="S280" s="4">
        <f t="shared" si="32"/>
        <v>0.785185185185185</v>
      </c>
      <c r="T280" s="4">
        <f t="shared" si="33"/>
        <v>1.325</v>
      </c>
      <c r="U280" s="4">
        <f t="shared" si="34"/>
        <v>0.457883369330454</v>
      </c>
      <c r="V280" s="4">
        <f t="shared" si="35"/>
        <v>0.366148531951641</v>
      </c>
      <c r="W280" s="4">
        <f t="shared" si="36"/>
        <v>0.848</v>
      </c>
    </row>
    <row r="281" spans="1:23">
      <c r="A281" s="5" t="s">
        <v>298</v>
      </c>
      <c r="B281" s="5">
        <v>38434</v>
      </c>
      <c r="C281" s="5">
        <v>38434</v>
      </c>
      <c r="D281" s="5">
        <v>206156</v>
      </c>
      <c r="E281" s="5">
        <v>3.662</v>
      </c>
      <c r="F281" s="5">
        <v>4.258</v>
      </c>
      <c r="G281" s="5">
        <v>2.868</v>
      </c>
      <c r="H281" s="5">
        <v>7.489</v>
      </c>
      <c r="I281" s="5">
        <v>6.382</v>
      </c>
      <c r="J281" s="5">
        <v>3.595</v>
      </c>
      <c r="K281" s="5">
        <v>206156</v>
      </c>
      <c r="L281" s="5">
        <v>206164</v>
      </c>
      <c r="M281" s="6">
        <f t="shared" si="37"/>
        <v>1.00003880556472</v>
      </c>
      <c r="N281" s="5">
        <v>596532</v>
      </c>
      <c r="O281" s="6">
        <f t="shared" si="38"/>
        <v>2.8935951415433</v>
      </c>
      <c r="P281" s="5">
        <v>180390</v>
      </c>
      <c r="Q281" s="1">
        <f t="shared" si="39"/>
        <v>0.875016977434564</v>
      </c>
      <c r="S281" s="4">
        <f t="shared" si="32"/>
        <v>0.860028182245186</v>
      </c>
      <c r="T281" s="4">
        <f t="shared" si="33"/>
        <v>1.2768479776848</v>
      </c>
      <c r="U281" s="4">
        <f t="shared" si="34"/>
        <v>0.488983842969689</v>
      </c>
      <c r="V281" s="4">
        <f t="shared" si="35"/>
        <v>0.573801316201818</v>
      </c>
      <c r="W281" s="4">
        <f t="shared" si="36"/>
        <v>1.01863699582754</v>
      </c>
    </row>
    <row r="282" spans="1:23">
      <c r="A282" s="5" t="s">
        <v>299</v>
      </c>
      <c r="B282" s="5">
        <v>389874</v>
      </c>
      <c r="C282" s="5">
        <v>389874</v>
      </c>
      <c r="D282" s="5">
        <v>2101242</v>
      </c>
      <c r="E282" s="5">
        <v>62.972</v>
      </c>
      <c r="F282" s="5">
        <v>91.56</v>
      </c>
      <c r="G282" s="5">
        <v>50.441</v>
      </c>
      <c r="H282" s="5">
        <v>105.786</v>
      </c>
      <c r="I282" s="5">
        <v>90.743</v>
      </c>
      <c r="J282" s="5">
        <v>63.963</v>
      </c>
      <c r="K282" s="5">
        <v>2101242</v>
      </c>
      <c r="L282" s="5">
        <v>2101248</v>
      </c>
      <c r="M282" s="6">
        <f t="shared" si="37"/>
        <v>1.00000285545406</v>
      </c>
      <c r="N282" s="5">
        <v>6062152</v>
      </c>
      <c r="O282" s="6">
        <f t="shared" si="38"/>
        <v>2.88503275681716</v>
      </c>
      <c r="P282" s="5">
        <v>1834902</v>
      </c>
      <c r="Q282" s="1">
        <f t="shared" si="39"/>
        <v>0.873246394275386</v>
      </c>
      <c r="S282" s="4">
        <f t="shared" si="32"/>
        <v>0.687767584097859</v>
      </c>
      <c r="T282" s="4">
        <f t="shared" si="33"/>
        <v>1.24842885747705</v>
      </c>
      <c r="U282" s="4">
        <f t="shared" si="34"/>
        <v>0.595277257860208</v>
      </c>
      <c r="V282" s="4">
        <f t="shared" si="35"/>
        <v>0.693959864672757</v>
      </c>
      <c r="W282" s="4">
        <f t="shared" si="36"/>
        <v>0.98450666791739</v>
      </c>
    </row>
    <row r="283" spans="1:23">
      <c r="A283" s="5" t="s">
        <v>300</v>
      </c>
      <c r="B283" s="5">
        <v>5860</v>
      </c>
      <c r="C283" s="5">
        <v>5860</v>
      </c>
      <c r="D283" s="5">
        <v>46842</v>
      </c>
      <c r="E283" s="5">
        <v>0.772</v>
      </c>
      <c r="F283" s="5">
        <v>0.819</v>
      </c>
      <c r="G283" s="5">
        <v>0.557</v>
      </c>
      <c r="H283" s="5">
        <v>0.935</v>
      </c>
      <c r="I283" s="5">
        <v>0.885</v>
      </c>
      <c r="J283" s="5">
        <v>0.868</v>
      </c>
      <c r="K283" s="5">
        <v>46842</v>
      </c>
      <c r="L283" s="5">
        <v>52304</v>
      </c>
      <c r="M283" s="6">
        <f t="shared" si="37"/>
        <v>1.11660475641518</v>
      </c>
      <c r="N283" s="5">
        <v>122800</v>
      </c>
      <c r="O283" s="6">
        <f t="shared" si="38"/>
        <v>2.62157892489646</v>
      </c>
      <c r="P283" s="5">
        <v>33220</v>
      </c>
      <c r="Q283" s="1">
        <f t="shared" si="39"/>
        <v>0.709192604927202</v>
      </c>
      <c r="S283" s="4">
        <f t="shared" si="32"/>
        <v>0.942612942612943</v>
      </c>
      <c r="T283" s="4">
        <f t="shared" si="33"/>
        <v>1.38599640933573</v>
      </c>
      <c r="U283" s="4">
        <f t="shared" si="34"/>
        <v>0.825668449197861</v>
      </c>
      <c r="V283" s="4">
        <f t="shared" si="35"/>
        <v>0.872316384180791</v>
      </c>
      <c r="W283" s="4">
        <f t="shared" si="36"/>
        <v>0.889400921658986</v>
      </c>
    </row>
    <row r="284" spans="1:23">
      <c r="A284" s="5" t="s">
        <v>301</v>
      </c>
      <c r="B284" s="5">
        <v>3200</v>
      </c>
      <c r="C284" s="5">
        <v>3200</v>
      </c>
      <c r="D284" s="5">
        <v>18316</v>
      </c>
      <c r="E284" s="5">
        <v>0.276</v>
      </c>
      <c r="F284" s="5">
        <v>0.362</v>
      </c>
      <c r="G284" s="5">
        <v>0.191</v>
      </c>
      <c r="H284" s="5">
        <v>0.347</v>
      </c>
      <c r="I284" s="5">
        <v>0.332</v>
      </c>
      <c r="J284" s="5">
        <v>0.289</v>
      </c>
      <c r="K284" s="5">
        <v>18316</v>
      </c>
      <c r="L284" s="5">
        <v>18344</v>
      </c>
      <c r="M284" s="6">
        <f t="shared" si="37"/>
        <v>1.00152871806071</v>
      </c>
      <c r="N284" s="5">
        <v>34284</v>
      </c>
      <c r="O284" s="6">
        <f t="shared" si="38"/>
        <v>1.87180607119458</v>
      </c>
      <c r="P284" s="5">
        <v>12350</v>
      </c>
      <c r="Q284" s="1">
        <f t="shared" si="39"/>
        <v>0.674273858921162</v>
      </c>
      <c r="S284" s="4">
        <f t="shared" si="32"/>
        <v>0.762430939226519</v>
      </c>
      <c r="T284" s="4">
        <f t="shared" si="33"/>
        <v>1.44502617801047</v>
      </c>
      <c r="U284" s="4">
        <f t="shared" si="34"/>
        <v>0.795389048991355</v>
      </c>
      <c r="V284" s="4">
        <f t="shared" si="35"/>
        <v>0.831325301204819</v>
      </c>
      <c r="W284" s="4">
        <f t="shared" si="36"/>
        <v>0.955017301038062</v>
      </c>
    </row>
    <row r="285" spans="1:23">
      <c r="A285" s="5" t="s">
        <v>302</v>
      </c>
      <c r="B285" s="5">
        <v>4800</v>
      </c>
      <c r="C285" s="5">
        <v>4800</v>
      </c>
      <c r="D285" s="5">
        <v>27520</v>
      </c>
      <c r="E285" s="5">
        <v>0.409</v>
      </c>
      <c r="F285" s="5">
        <v>0.543</v>
      </c>
      <c r="G285" s="5">
        <v>0.301</v>
      </c>
      <c r="H285" s="5">
        <v>0.519</v>
      </c>
      <c r="I285" s="5">
        <v>0.497</v>
      </c>
      <c r="J285" s="5">
        <v>0.42</v>
      </c>
      <c r="K285" s="5">
        <v>27520</v>
      </c>
      <c r="L285" s="5">
        <v>27552</v>
      </c>
      <c r="M285" s="6">
        <f t="shared" si="37"/>
        <v>1.00116279069767</v>
      </c>
      <c r="N285" s="5">
        <v>51484</v>
      </c>
      <c r="O285" s="6">
        <f t="shared" si="38"/>
        <v>1.87078488372093</v>
      </c>
      <c r="P285" s="5">
        <v>18554</v>
      </c>
      <c r="Q285" s="1">
        <f t="shared" si="39"/>
        <v>0.674200581395349</v>
      </c>
      <c r="S285" s="4">
        <f t="shared" si="32"/>
        <v>0.753222836095764</v>
      </c>
      <c r="T285" s="4">
        <f t="shared" si="33"/>
        <v>1.35880398671096</v>
      </c>
      <c r="U285" s="4">
        <f t="shared" si="34"/>
        <v>0.788053949903661</v>
      </c>
      <c r="V285" s="4">
        <f t="shared" si="35"/>
        <v>0.822937625754527</v>
      </c>
      <c r="W285" s="4">
        <f t="shared" si="36"/>
        <v>0.973809523809524</v>
      </c>
    </row>
    <row r="286" spans="1:23">
      <c r="A286" s="5" t="s">
        <v>303</v>
      </c>
      <c r="B286" s="5">
        <v>40806</v>
      </c>
      <c r="C286" s="5">
        <v>40806</v>
      </c>
      <c r="D286" s="5">
        <v>203622</v>
      </c>
      <c r="E286" s="5">
        <v>3.728</v>
      </c>
      <c r="F286" s="5">
        <v>4.663</v>
      </c>
      <c r="G286" s="5">
        <v>2.873</v>
      </c>
      <c r="H286" s="5">
        <v>4.682</v>
      </c>
      <c r="I286" s="5">
        <v>4.074</v>
      </c>
      <c r="J286" s="5">
        <v>3.451</v>
      </c>
      <c r="K286" s="5">
        <v>203622</v>
      </c>
      <c r="L286" s="5">
        <v>203788</v>
      </c>
      <c r="M286" s="6">
        <f t="shared" si="37"/>
        <v>1.00081523607469</v>
      </c>
      <c r="N286" s="5">
        <v>488040</v>
      </c>
      <c r="O286" s="6">
        <f t="shared" si="38"/>
        <v>2.39679405958099</v>
      </c>
      <c r="P286" s="5">
        <v>122620</v>
      </c>
      <c r="Q286" s="1">
        <f t="shared" si="39"/>
        <v>0.602194261916689</v>
      </c>
      <c r="S286" s="4">
        <f t="shared" si="32"/>
        <v>0.799485309886339</v>
      </c>
      <c r="T286" s="4">
        <f t="shared" si="33"/>
        <v>1.29759832927254</v>
      </c>
      <c r="U286" s="4">
        <f t="shared" si="34"/>
        <v>0.796240922682614</v>
      </c>
      <c r="V286" s="4">
        <f t="shared" si="35"/>
        <v>0.91507118311242</v>
      </c>
      <c r="W286" s="4">
        <f t="shared" si="36"/>
        <v>1.08026658939438</v>
      </c>
    </row>
    <row r="287" spans="1:23">
      <c r="A287" s="5" t="s">
        <v>304</v>
      </c>
      <c r="B287" s="5">
        <v>10000</v>
      </c>
      <c r="C287" s="5">
        <v>10000</v>
      </c>
      <c r="D287" s="5">
        <v>145600</v>
      </c>
      <c r="E287" s="5">
        <v>2.468</v>
      </c>
      <c r="F287" s="5">
        <v>2.57</v>
      </c>
      <c r="G287" s="5">
        <v>1.739</v>
      </c>
      <c r="H287" s="5">
        <v>4.183</v>
      </c>
      <c r="I287" s="5">
        <v>3.915</v>
      </c>
      <c r="J287" s="5">
        <v>2.497</v>
      </c>
      <c r="K287" s="5">
        <v>145600</v>
      </c>
      <c r="L287" s="5">
        <v>146440</v>
      </c>
      <c r="M287" s="6">
        <f t="shared" si="37"/>
        <v>1.00576923076923</v>
      </c>
      <c r="N287" s="5">
        <v>572796</v>
      </c>
      <c r="O287" s="6">
        <f t="shared" si="38"/>
        <v>3.93403846153846</v>
      </c>
      <c r="P287" s="5">
        <v>153796</v>
      </c>
      <c r="Q287" s="1">
        <f t="shared" si="39"/>
        <v>1.05629120879121</v>
      </c>
      <c r="S287" s="4">
        <f t="shared" si="32"/>
        <v>0.960311284046693</v>
      </c>
      <c r="T287" s="4">
        <f t="shared" si="33"/>
        <v>1.41920644048304</v>
      </c>
      <c r="U287" s="4">
        <f t="shared" si="34"/>
        <v>0.590007171886206</v>
      </c>
      <c r="V287" s="4">
        <f t="shared" si="35"/>
        <v>0.630395913154534</v>
      </c>
      <c r="W287" s="4">
        <f t="shared" si="36"/>
        <v>0.988386063275931</v>
      </c>
    </row>
    <row r="288" spans="1:23">
      <c r="A288" s="5" t="s">
        <v>305</v>
      </c>
      <c r="B288" s="5">
        <v>45101</v>
      </c>
      <c r="C288" s="5">
        <v>45101</v>
      </c>
      <c r="D288" s="5">
        <v>28967291</v>
      </c>
      <c r="E288" s="5">
        <v>602.874</v>
      </c>
      <c r="F288" s="5">
        <v>525.56</v>
      </c>
      <c r="G288" s="5">
        <v>538.084</v>
      </c>
      <c r="H288" s="5">
        <v>801.351</v>
      </c>
      <c r="I288" s="5">
        <v>535.464</v>
      </c>
      <c r="J288" s="5">
        <v>432.871</v>
      </c>
      <c r="K288" s="5">
        <v>28967291</v>
      </c>
      <c r="L288" s="5">
        <v>29707304</v>
      </c>
      <c r="M288" s="6">
        <f t="shared" si="37"/>
        <v>1.02554650346834</v>
      </c>
      <c r="N288" s="5">
        <v>92511808</v>
      </c>
      <c r="O288" s="6">
        <f t="shared" si="38"/>
        <v>3.19366446796837</v>
      </c>
      <c r="P288" s="5">
        <v>25006352</v>
      </c>
      <c r="Q288" s="1">
        <f t="shared" si="39"/>
        <v>0.863261669860671</v>
      </c>
      <c r="S288" s="4">
        <f t="shared" si="32"/>
        <v>1.1471078468681</v>
      </c>
      <c r="T288" s="4">
        <f t="shared" si="33"/>
        <v>1.12040870942083</v>
      </c>
      <c r="U288" s="4">
        <f t="shared" si="34"/>
        <v>0.75232201619515</v>
      </c>
      <c r="V288" s="4">
        <f t="shared" si="35"/>
        <v>1.12589081618932</v>
      </c>
      <c r="W288" s="4">
        <f t="shared" si="36"/>
        <v>1.39273363195964</v>
      </c>
    </row>
    <row r="289" spans="1:23">
      <c r="A289" s="5" t="s">
        <v>306</v>
      </c>
      <c r="B289" s="5">
        <v>4515</v>
      </c>
      <c r="C289" s="5">
        <v>4515</v>
      </c>
      <c r="D289" s="5">
        <v>97707</v>
      </c>
      <c r="E289" s="5">
        <v>1.484</v>
      </c>
      <c r="F289" s="5">
        <v>1.427</v>
      </c>
      <c r="G289" s="5">
        <v>1.036</v>
      </c>
      <c r="H289" s="5">
        <v>1.059</v>
      </c>
      <c r="I289" s="5">
        <v>1.116</v>
      </c>
      <c r="J289" s="5">
        <v>1.213</v>
      </c>
      <c r="K289" s="5">
        <v>97707</v>
      </c>
      <c r="L289" s="5">
        <v>97884</v>
      </c>
      <c r="M289" s="6">
        <f t="shared" si="37"/>
        <v>1.00181153857963</v>
      </c>
      <c r="N289" s="5">
        <v>155100</v>
      </c>
      <c r="O289" s="6">
        <f t="shared" si="38"/>
        <v>1.58739906045626</v>
      </c>
      <c r="P289" s="5">
        <v>56302</v>
      </c>
      <c r="Q289" s="1">
        <f t="shared" si="39"/>
        <v>0.576233023222492</v>
      </c>
      <c r="S289" s="4">
        <f t="shared" si="32"/>
        <v>1.03994393833217</v>
      </c>
      <c r="T289" s="4">
        <f t="shared" si="33"/>
        <v>1.43243243243243</v>
      </c>
      <c r="U289" s="4">
        <f t="shared" si="34"/>
        <v>1.40132200188857</v>
      </c>
      <c r="V289" s="4">
        <f t="shared" si="35"/>
        <v>1.32974910394265</v>
      </c>
      <c r="W289" s="4">
        <f t="shared" si="36"/>
        <v>1.22341302555647</v>
      </c>
    </row>
    <row r="290" spans="1:23">
      <c r="A290" s="5" t="s">
        <v>307</v>
      </c>
      <c r="B290" s="5">
        <v>10848</v>
      </c>
      <c r="C290" s="5">
        <v>10848</v>
      </c>
      <c r="D290" s="5">
        <v>1229778</v>
      </c>
      <c r="E290" s="5">
        <v>20.283</v>
      </c>
      <c r="F290" s="5">
        <v>15.144</v>
      </c>
      <c r="G290" s="5">
        <v>14.473</v>
      </c>
      <c r="H290" s="5">
        <v>9.504</v>
      </c>
      <c r="I290" s="5">
        <v>11.14</v>
      </c>
      <c r="J290" s="5">
        <v>13.242</v>
      </c>
      <c r="K290" s="5">
        <v>1229778</v>
      </c>
      <c r="L290" s="5">
        <v>1236312</v>
      </c>
      <c r="M290" s="6">
        <f t="shared" si="37"/>
        <v>1.00531315408147</v>
      </c>
      <c r="N290" s="5">
        <v>1444848</v>
      </c>
      <c r="O290" s="6">
        <f t="shared" si="38"/>
        <v>1.17488522318662</v>
      </c>
      <c r="P290" s="5">
        <v>630734</v>
      </c>
      <c r="Q290" s="1">
        <f t="shared" si="39"/>
        <v>0.512884439305305</v>
      </c>
      <c r="S290" s="4">
        <f t="shared" si="32"/>
        <v>1.33934231378764</v>
      </c>
      <c r="T290" s="4">
        <f t="shared" si="33"/>
        <v>1.40143715884751</v>
      </c>
      <c r="U290" s="4">
        <f t="shared" si="34"/>
        <v>2.13415404040404</v>
      </c>
      <c r="V290" s="4">
        <f t="shared" si="35"/>
        <v>1.82073608617594</v>
      </c>
      <c r="W290" s="4">
        <f t="shared" si="36"/>
        <v>1.53171726325328</v>
      </c>
    </row>
    <row r="291" spans="1:23">
      <c r="A291" s="5" t="s">
        <v>308</v>
      </c>
      <c r="B291" s="5">
        <v>23052</v>
      </c>
      <c r="C291" s="5">
        <v>23052</v>
      </c>
      <c r="D291" s="5">
        <v>1154814</v>
      </c>
      <c r="E291" s="5">
        <v>19.876</v>
      </c>
      <c r="F291" s="5">
        <v>16.737</v>
      </c>
      <c r="G291" s="5">
        <v>13.909</v>
      </c>
      <c r="H291" s="5">
        <v>10.122</v>
      </c>
      <c r="I291" s="5">
        <v>12.006</v>
      </c>
      <c r="J291" s="5">
        <v>14.051</v>
      </c>
      <c r="K291" s="5">
        <v>1154814</v>
      </c>
      <c r="L291" s="5">
        <v>1157576</v>
      </c>
      <c r="M291" s="6">
        <f t="shared" si="37"/>
        <v>1.0023917271526</v>
      </c>
      <c r="N291" s="5">
        <v>1425768</v>
      </c>
      <c r="O291" s="6">
        <f t="shared" si="38"/>
        <v>1.23462999236241</v>
      </c>
      <c r="P291" s="5">
        <v>602470</v>
      </c>
      <c r="Q291" s="1">
        <f t="shared" si="39"/>
        <v>0.521703062138145</v>
      </c>
      <c r="S291" s="4">
        <f t="shared" si="32"/>
        <v>1.18754854513951</v>
      </c>
      <c r="T291" s="4">
        <f t="shared" si="33"/>
        <v>1.42900280393989</v>
      </c>
      <c r="U291" s="4">
        <f t="shared" si="34"/>
        <v>1.96364354870579</v>
      </c>
      <c r="V291" s="4">
        <f t="shared" si="35"/>
        <v>1.65550558054306</v>
      </c>
      <c r="W291" s="4">
        <f t="shared" si="36"/>
        <v>1.4145612411928</v>
      </c>
    </row>
    <row r="292" spans="1:23">
      <c r="A292" s="5" t="s">
        <v>309</v>
      </c>
      <c r="B292" s="5">
        <v>415863</v>
      </c>
      <c r="C292" s="5">
        <v>415863</v>
      </c>
      <c r="D292" s="5">
        <v>20240935</v>
      </c>
      <c r="E292" s="5">
        <v>427.467</v>
      </c>
      <c r="F292" s="5">
        <v>481.277</v>
      </c>
      <c r="G292" s="5">
        <v>578.97</v>
      </c>
      <c r="H292" s="5">
        <v>247.495</v>
      </c>
      <c r="I292" s="5">
        <v>274.659</v>
      </c>
      <c r="J292" s="5">
        <v>259.743</v>
      </c>
      <c r="K292" s="5">
        <v>20240935</v>
      </c>
      <c r="L292" s="5">
        <v>20272168</v>
      </c>
      <c r="M292" s="6">
        <f t="shared" si="37"/>
        <v>1.00154306112835</v>
      </c>
      <c r="N292" s="5">
        <v>23011492</v>
      </c>
      <c r="O292" s="6">
        <f t="shared" si="38"/>
        <v>1.13687890406249</v>
      </c>
      <c r="P292" s="5">
        <v>10585332</v>
      </c>
      <c r="Q292" s="1">
        <f t="shared" si="39"/>
        <v>0.522966552681484</v>
      </c>
      <c r="S292" s="4">
        <f t="shared" si="32"/>
        <v>0.888193285779291</v>
      </c>
      <c r="T292" s="4">
        <f t="shared" si="33"/>
        <v>0.738323229182859</v>
      </c>
      <c r="U292" s="4">
        <f t="shared" si="34"/>
        <v>1.72717428634922</v>
      </c>
      <c r="V292" s="4">
        <f t="shared" si="35"/>
        <v>1.55635533516105</v>
      </c>
      <c r="W292" s="4">
        <f t="shared" si="36"/>
        <v>1.6457305875423</v>
      </c>
    </row>
    <row r="293" spans="1:23">
      <c r="A293" s="5" t="s">
        <v>310</v>
      </c>
      <c r="B293" s="5">
        <v>97578</v>
      </c>
      <c r="C293" s="5">
        <v>97578</v>
      </c>
      <c r="D293" s="5">
        <v>9753570</v>
      </c>
      <c r="E293" s="5">
        <v>189.203</v>
      </c>
      <c r="F293" s="5">
        <v>150.011</v>
      </c>
      <c r="G293" s="5">
        <v>155.251</v>
      </c>
      <c r="H293" s="5">
        <v>96.052</v>
      </c>
      <c r="I293" s="5">
        <v>90.609</v>
      </c>
      <c r="J293" s="5">
        <v>99.964</v>
      </c>
      <c r="K293" s="5">
        <v>9753570</v>
      </c>
      <c r="L293" s="5">
        <v>9781332</v>
      </c>
      <c r="M293" s="6">
        <f t="shared" si="37"/>
        <v>1.00284634241616</v>
      </c>
      <c r="N293" s="5">
        <v>11056368</v>
      </c>
      <c r="O293" s="6">
        <f t="shared" si="38"/>
        <v>1.13357140001046</v>
      </c>
      <c r="P293" s="5">
        <v>4980390</v>
      </c>
      <c r="Q293" s="1">
        <f t="shared" si="39"/>
        <v>0.510622264463166</v>
      </c>
      <c r="S293" s="4">
        <f t="shared" si="32"/>
        <v>1.26126084087167</v>
      </c>
      <c r="T293" s="4">
        <f t="shared" si="33"/>
        <v>1.21869102292417</v>
      </c>
      <c r="U293" s="4">
        <f t="shared" si="34"/>
        <v>1.96979760962812</v>
      </c>
      <c r="V293" s="4">
        <f t="shared" si="35"/>
        <v>2.08812590360781</v>
      </c>
      <c r="W293" s="4">
        <f t="shared" si="36"/>
        <v>1.89271137609539</v>
      </c>
    </row>
    <row r="294" spans="1:23">
      <c r="A294" s="5" t="s">
        <v>311</v>
      </c>
      <c r="B294" s="5">
        <v>7102</v>
      </c>
      <c r="C294" s="5">
        <v>7102</v>
      </c>
      <c r="D294" s="5">
        <v>170134</v>
      </c>
      <c r="E294" s="5">
        <v>2.624</v>
      </c>
      <c r="F294" s="5">
        <v>2.362</v>
      </c>
      <c r="G294" s="5">
        <v>1.84</v>
      </c>
      <c r="H294" s="5">
        <v>2.469</v>
      </c>
      <c r="I294" s="5">
        <v>1.458</v>
      </c>
      <c r="J294" s="5">
        <v>1.956</v>
      </c>
      <c r="K294" s="5">
        <v>170134</v>
      </c>
      <c r="L294" s="5">
        <v>170604</v>
      </c>
      <c r="M294" s="6">
        <f t="shared" si="37"/>
        <v>1.00276252836</v>
      </c>
      <c r="N294" s="5">
        <v>361856</v>
      </c>
      <c r="O294" s="6">
        <f t="shared" si="38"/>
        <v>2.12688821752266</v>
      </c>
      <c r="P294" s="5">
        <v>88618</v>
      </c>
      <c r="Q294" s="1">
        <f t="shared" si="39"/>
        <v>0.520871783417777</v>
      </c>
      <c r="S294" s="4">
        <f t="shared" si="32"/>
        <v>1.11092294665538</v>
      </c>
      <c r="T294" s="4">
        <f t="shared" si="33"/>
        <v>1.42608695652174</v>
      </c>
      <c r="U294" s="4">
        <f t="shared" si="34"/>
        <v>1.0627784528149</v>
      </c>
      <c r="V294" s="4">
        <f t="shared" si="35"/>
        <v>1.7997256515775</v>
      </c>
      <c r="W294" s="4">
        <f t="shared" si="36"/>
        <v>1.34151329243354</v>
      </c>
    </row>
    <row r="295" spans="1:23">
      <c r="A295" s="5" t="s">
        <v>312</v>
      </c>
      <c r="B295" s="5">
        <v>5832</v>
      </c>
      <c r="C295" s="5">
        <v>5832</v>
      </c>
      <c r="D295" s="5">
        <v>305630</v>
      </c>
      <c r="E295" s="5">
        <v>4.885</v>
      </c>
      <c r="F295" s="5">
        <v>3.895</v>
      </c>
      <c r="G295" s="5">
        <v>3.351</v>
      </c>
      <c r="H295" s="5">
        <v>4.203</v>
      </c>
      <c r="I295" s="5">
        <v>3.538</v>
      </c>
      <c r="J295" s="5">
        <v>3.531</v>
      </c>
      <c r="K295" s="5">
        <v>305630</v>
      </c>
      <c r="L295" s="5">
        <v>309232</v>
      </c>
      <c r="M295" s="6">
        <f t="shared" si="37"/>
        <v>1.01178549226189</v>
      </c>
      <c r="N295" s="5">
        <v>648068</v>
      </c>
      <c r="O295" s="6">
        <f t="shared" si="38"/>
        <v>2.12043320354677</v>
      </c>
      <c r="P295" s="5">
        <v>184466</v>
      </c>
      <c r="Q295" s="1">
        <f t="shared" si="39"/>
        <v>0.603559859961391</v>
      </c>
      <c r="S295" s="4">
        <f t="shared" si="32"/>
        <v>1.25417201540436</v>
      </c>
      <c r="T295" s="4">
        <f t="shared" si="33"/>
        <v>1.45777379886601</v>
      </c>
      <c r="U295" s="4">
        <f t="shared" si="34"/>
        <v>1.16226504877468</v>
      </c>
      <c r="V295" s="4">
        <f t="shared" si="35"/>
        <v>1.38072357263991</v>
      </c>
      <c r="W295" s="4">
        <f t="shared" si="36"/>
        <v>1.38346077598414</v>
      </c>
    </row>
    <row r="296" spans="1:23">
      <c r="A296" s="5" t="s">
        <v>313</v>
      </c>
      <c r="B296" s="5">
        <v>4704</v>
      </c>
      <c r="C296" s="5">
        <v>4704</v>
      </c>
      <c r="D296" s="5">
        <v>104756</v>
      </c>
      <c r="E296" s="5">
        <v>1.561</v>
      </c>
      <c r="F296" s="5">
        <v>1.474</v>
      </c>
      <c r="G296" s="5">
        <v>1.1</v>
      </c>
      <c r="H296" s="5">
        <v>1.158</v>
      </c>
      <c r="I296" s="5">
        <v>1.259</v>
      </c>
      <c r="J296" s="5">
        <v>1.285</v>
      </c>
      <c r="K296" s="5">
        <v>104756</v>
      </c>
      <c r="L296" s="5">
        <v>105296</v>
      </c>
      <c r="M296" s="6">
        <f t="shared" si="37"/>
        <v>1.00515483599985</v>
      </c>
      <c r="N296" s="5">
        <v>165228</v>
      </c>
      <c r="O296" s="6">
        <f t="shared" si="38"/>
        <v>1.57726526404216</v>
      </c>
      <c r="P296" s="5">
        <v>61658</v>
      </c>
      <c r="Q296" s="1">
        <f t="shared" si="39"/>
        <v>0.588586811256634</v>
      </c>
      <c r="S296" s="4">
        <f t="shared" si="32"/>
        <v>1.05902306648575</v>
      </c>
      <c r="T296" s="4">
        <f t="shared" si="33"/>
        <v>1.41909090909091</v>
      </c>
      <c r="U296" s="4">
        <f t="shared" si="34"/>
        <v>1.34801381692573</v>
      </c>
      <c r="V296" s="4">
        <f t="shared" si="35"/>
        <v>1.23987291501191</v>
      </c>
      <c r="W296" s="4">
        <f t="shared" si="36"/>
        <v>1.2147859922179</v>
      </c>
    </row>
    <row r="297" spans="1:23">
      <c r="A297" s="5" t="s">
        <v>314</v>
      </c>
      <c r="B297" s="5">
        <v>54870</v>
      </c>
      <c r="C297" s="5">
        <v>54870</v>
      </c>
      <c r="D297" s="5">
        <v>2677324</v>
      </c>
      <c r="E297" s="5">
        <v>44.182</v>
      </c>
      <c r="F297" s="5">
        <v>35.946</v>
      </c>
      <c r="G297" s="5">
        <v>32.227</v>
      </c>
      <c r="H297" s="5">
        <v>25.982</v>
      </c>
      <c r="I297" s="5">
        <v>24.608</v>
      </c>
      <c r="J297" s="5">
        <v>28.991</v>
      </c>
      <c r="K297" s="5">
        <v>2677324</v>
      </c>
      <c r="L297" s="5">
        <v>2683256</v>
      </c>
      <c r="M297" s="6">
        <f t="shared" si="37"/>
        <v>1.00221564517406</v>
      </c>
      <c r="N297" s="5">
        <v>3627460</v>
      </c>
      <c r="O297" s="6">
        <f t="shared" si="38"/>
        <v>1.35488271124451</v>
      </c>
      <c r="P297" s="5">
        <v>1427410</v>
      </c>
      <c r="Q297" s="1">
        <f t="shared" si="39"/>
        <v>0.533148023922394</v>
      </c>
      <c r="S297" s="4">
        <f t="shared" si="32"/>
        <v>1.22912145996773</v>
      </c>
      <c r="T297" s="4">
        <f t="shared" si="33"/>
        <v>1.37096223663388</v>
      </c>
      <c r="U297" s="4">
        <f t="shared" si="34"/>
        <v>1.70048495112001</v>
      </c>
      <c r="V297" s="4">
        <f t="shared" si="35"/>
        <v>1.79543237971391</v>
      </c>
      <c r="W297" s="4">
        <f t="shared" si="36"/>
        <v>1.52399020385637</v>
      </c>
    </row>
    <row r="298" spans="1:23">
      <c r="A298" s="5" t="s">
        <v>315</v>
      </c>
      <c r="B298" s="5">
        <v>50000</v>
      </c>
      <c r="C298" s="5">
        <v>50000</v>
      </c>
      <c r="D298" s="5">
        <v>349968</v>
      </c>
      <c r="E298" s="5">
        <v>6.112</v>
      </c>
      <c r="F298" s="5">
        <v>7.252</v>
      </c>
      <c r="G298" s="5">
        <v>4.711</v>
      </c>
      <c r="H298" s="5">
        <v>11.753</v>
      </c>
      <c r="I298" s="5">
        <v>8.859</v>
      </c>
      <c r="J298" s="5">
        <v>6.347</v>
      </c>
      <c r="K298" s="5">
        <v>349968</v>
      </c>
      <c r="L298" s="5">
        <v>350000</v>
      </c>
      <c r="M298" s="6">
        <f t="shared" si="37"/>
        <v>1.00009143693138</v>
      </c>
      <c r="N298" s="5">
        <v>1399624</v>
      </c>
      <c r="O298" s="6">
        <f t="shared" si="38"/>
        <v>3.99929136378183</v>
      </c>
      <c r="P298" s="5">
        <v>349942</v>
      </c>
      <c r="Q298" s="1">
        <f t="shared" si="39"/>
        <v>0.999925707493256</v>
      </c>
      <c r="S298" s="4">
        <f t="shared" si="32"/>
        <v>0.842801985659129</v>
      </c>
      <c r="T298" s="4">
        <f t="shared" si="33"/>
        <v>1.29738908936532</v>
      </c>
      <c r="U298" s="4">
        <f t="shared" si="34"/>
        <v>0.520037437250064</v>
      </c>
      <c r="V298" s="4">
        <f t="shared" si="35"/>
        <v>0.689919855514166</v>
      </c>
      <c r="W298" s="4">
        <f t="shared" si="36"/>
        <v>0.962974633685206</v>
      </c>
    </row>
    <row r="299" spans="1:23">
      <c r="A299" s="5" t="s">
        <v>316</v>
      </c>
      <c r="B299" s="5">
        <v>12111</v>
      </c>
      <c r="C299" s="5">
        <v>12111</v>
      </c>
      <c r="D299" s="5">
        <v>73963</v>
      </c>
      <c r="E299" s="5">
        <v>1.304</v>
      </c>
      <c r="F299" s="5">
        <v>1.335</v>
      </c>
      <c r="G299" s="5">
        <v>0.866</v>
      </c>
      <c r="H299" s="5">
        <v>2.265</v>
      </c>
      <c r="I299" s="5">
        <v>1.763</v>
      </c>
      <c r="J299" s="5">
        <v>1.276</v>
      </c>
      <c r="K299" s="5">
        <v>73963</v>
      </c>
      <c r="L299" s="5">
        <v>74188</v>
      </c>
      <c r="M299" s="6">
        <f t="shared" si="37"/>
        <v>1.00304206157133</v>
      </c>
      <c r="N299" s="5">
        <v>295616</v>
      </c>
      <c r="O299" s="6">
        <f t="shared" si="38"/>
        <v>3.99680921541852</v>
      </c>
      <c r="P299" s="5">
        <v>71356</v>
      </c>
      <c r="Q299" s="1">
        <f t="shared" si="39"/>
        <v>0.964752646593567</v>
      </c>
      <c r="S299" s="4">
        <f t="shared" si="32"/>
        <v>0.976779026217229</v>
      </c>
      <c r="T299" s="4">
        <f t="shared" si="33"/>
        <v>1.50577367205543</v>
      </c>
      <c r="U299" s="4">
        <f t="shared" si="34"/>
        <v>0.575717439293598</v>
      </c>
      <c r="V299" s="4">
        <f t="shared" si="35"/>
        <v>0.739648326715825</v>
      </c>
      <c r="W299" s="4">
        <f t="shared" si="36"/>
        <v>1.02194357366771</v>
      </c>
    </row>
    <row r="300" spans="1:23">
      <c r="A300" s="5" t="s">
        <v>317</v>
      </c>
      <c r="B300" s="5">
        <v>75000</v>
      </c>
      <c r="C300" s="5">
        <v>75000</v>
      </c>
      <c r="D300" s="5">
        <v>499964</v>
      </c>
      <c r="E300" s="5">
        <v>9.804</v>
      </c>
      <c r="F300" s="5">
        <v>10.411</v>
      </c>
      <c r="G300" s="5">
        <v>7.123</v>
      </c>
      <c r="H300" s="5">
        <v>17.617</v>
      </c>
      <c r="I300" s="5">
        <v>14.011</v>
      </c>
      <c r="J300" s="5">
        <v>9.764</v>
      </c>
      <c r="K300" s="5">
        <v>499964</v>
      </c>
      <c r="L300" s="5">
        <v>501156</v>
      </c>
      <c r="M300" s="6">
        <f t="shared" si="37"/>
        <v>1.00238417166036</v>
      </c>
      <c r="N300" s="5">
        <v>1999564</v>
      </c>
      <c r="O300" s="6">
        <f t="shared" si="38"/>
        <v>3.99941595794897</v>
      </c>
      <c r="P300" s="5">
        <v>499934</v>
      </c>
      <c r="Q300" s="1">
        <f t="shared" si="39"/>
        <v>0.999939995679689</v>
      </c>
      <c r="S300" s="4">
        <f t="shared" si="32"/>
        <v>0.941696282777831</v>
      </c>
      <c r="T300" s="4">
        <f t="shared" si="33"/>
        <v>1.3763863540643</v>
      </c>
      <c r="U300" s="4">
        <f t="shared" si="34"/>
        <v>0.556507918487824</v>
      </c>
      <c r="V300" s="4">
        <f t="shared" si="35"/>
        <v>0.699735921775748</v>
      </c>
      <c r="W300" s="4">
        <f t="shared" si="36"/>
        <v>1.00409668168783</v>
      </c>
    </row>
    <row r="301" spans="1:23">
      <c r="A301" s="5" t="s">
        <v>318</v>
      </c>
      <c r="B301" s="5">
        <v>62500</v>
      </c>
      <c r="C301" s="5">
        <v>62500</v>
      </c>
      <c r="D301" s="5">
        <v>424966</v>
      </c>
      <c r="E301" s="5">
        <v>8.53</v>
      </c>
      <c r="F301" s="5">
        <v>9.793</v>
      </c>
      <c r="G301" s="5">
        <v>6.231</v>
      </c>
      <c r="H301" s="5">
        <v>14.409</v>
      </c>
      <c r="I301" s="5">
        <v>11.437</v>
      </c>
      <c r="J301" s="5">
        <v>8.472</v>
      </c>
      <c r="K301" s="5">
        <v>424966</v>
      </c>
      <c r="L301" s="5">
        <v>425564</v>
      </c>
      <c r="M301" s="6">
        <f t="shared" si="37"/>
        <v>1.00140717139724</v>
      </c>
      <c r="N301" s="5">
        <v>1699588</v>
      </c>
      <c r="O301" s="6">
        <f t="shared" si="38"/>
        <v>3.9993505362782</v>
      </c>
      <c r="P301" s="5">
        <v>424936</v>
      </c>
      <c r="Q301" s="1">
        <f t="shared" si="39"/>
        <v>0.999929406117195</v>
      </c>
      <c r="S301" s="4">
        <f t="shared" si="32"/>
        <v>0.871030327785153</v>
      </c>
      <c r="T301" s="4">
        <f t="shared" si="33"/>
        <v>1.36896164339592</v>
      </c>
      <c r="U301" s="4">
        <f t="shared" si="34"/>
        <v>0.591991116663197</v>
      </c>
      <c r="V301" s="4">
        <f t="shared" si="35"/>
        <v>0.745824954096354</v>
      </c>
      <c r="W301" s="4">
        <f t="shared" si="36"/>
        <v>1.00684608120869</v>
      </c>
    </row>
    <row r="302" spans="1:23">
      <c r="A302" s="5" t="s">
        <v>319</v>
      </c>
      <c r="B302" s="5">
        <v>87500</v>
      </c>
      <c r="C302" s="5">
        <v>87500</v>
      </c>
      <c r="D302" s="5">
        <v>574962</v>
      </c>
      <c r="E302" s="5">
        <v>11.301</v>
      </c>
      <c r="F302" s="5">
        <v>12.187</v>
      </c>
      <c r="G302" s="5">
        <v>8.731</v>
      </c>
      <c r="H302" s="5">
        <v>20.392</v>
      </c>
      <c r="I302" s="5">
        <v>17.033</v>
      </c>
      <c r="J302" s="5">
        <v>11.727</v>
      </c>
      <c r="K302" s="5">
        <v>574962</v>
      </c>
      <c r="L302" s="5">
        <v>576740</v>
      </c>
      <c r="M302" s="6">
        <f t="shared" si="37"/>
        <v>1.00309237827891</v>
      </c>
      <c r="N302" s="5">
        <v>2299540</v>
      </c>
      <c r="O302" s="6">
        <f t="shared" si="38"/>
        <v>3.99946431242413</v>
      </c>
      <c r="P302" s="5">
        <v>574932</v>
      </c>
      <c r="Q302" s="1">
        <f t="shared" si="39"/>
        <v>0.999947822638714</v>
      </c>
      <c r="S302" s="4">
        <f t="shared" si="32"/>
        <v>0.927299581521293</v>
      </c>
      <c r="T302" s="4">
        <f t="shared" si="33"/>
        <v>1.29435345321269</v>
      </c>
      <c r="U302" s="4">
        <f t="shared" si="34"/>
        <v>0.554187916830129</v>
      </c>
      <c r="V302" s="4">
        <f t="shared" si="35"/>
        <v>0.663476780367522</v>
      </c>
      <c r="W302" s="4">
        <f t="shared" si="36"/>
        <v>0.963673573804042</v>
      </c>
    </row>
    <row r="303" spans="1:23">
      <c r="A303" s="5" t="s">
        <v>320</v>
      </c>
      <c r="B303" s="5">
        <v>16554</v>
      </c>
      <c r="C303" s="5">
        <v>16554</v>
      </c>
      <c r="D303" s="5">
        <v>54040</v>
      </c>
      <c r="E303" s="5">
        <v>1.395</v>
      </c>
      <c r="F303" s="5">
        <v>1.135</v>
      </c>
      <c r="G303" s="5">
        <v>0.705</v>
      </c>
      <c r="H303" s="5">
        <v>2.188</v>
      </c>
      <c r="I303" s="5">
        <v>1.533</v>
      </c>
      <c r="J303" s="5">
        <v>1.065</v>
      </c>
      <c r="K303" s="5">
        <v>54040</v>
      </c>
      <c r="L303" s="5">
        <v>54260</v>
      </c>
      <c r="M303" s="6">
        <f t="shared" si="37"/>
        <v>1.0040710584752</v>
      </c>
      <c r="N303" s="5">
        <v>216100</v>
      </c>
      <c r="O303" s="6">
        <f t="shared" si="38"/>
        <v>3.99888971132494</v>
      </c>
      <c r="P303" s="5">
        <v>53784</v>
      </c>
      <c r="Q303" s="1">
        <f t="shared" si="39"/>
        <v>0.995262768319763</v>
      </c>
      <c r="S303" s="4">
        <f t="shared" si="32"/>
        <v>1.22907488986784</v>
      </c>
      <c r="T303" s="4">
        <f t="shared" si="33"/>
        <v>1.97872340425532</v>
      </c>
      <c r="U303" s="4">
        <f t="shared" si="34"/>
        <v>0.637568555758684</v>
      </c>
      <c r="V303" s="4">
        <f t="shared" si="35"/>
        <v>0.909980430528376</v>
      </c>
      <c r="W303" s="4">
        <f t="shared" si="36"/>
        <v>1.30985915492958</v>
      </c>
    </row>
    <row r="304" spans="1:23">
      <c r="A304" s="5" t="s">
        <v>321</v>
      </c>
      <c r="B304" s="5">
        <v>36000</v>
      </c>
      <c r="C304" s="5">
        <v>36000</v>
      </c>
      <c r="D304" s="5">
        <v>14220946</v>
      </c>
      <c r="E304" s="5">
        <v>335.298</v>
      </c>
      <c r="F304" s="5">
        <v>282.761</v>
      </c>
      <c r="G304" s="5">
        <v>228.768</v>
      </c>
      <c r="H304" s="5">
        <v>128.269</v>
      </c>
      <c r="I304" s="5">
        <v>128.901</v>
      </c>
      <c r="J304" s="5">
        <v>158.518</v>
      </c>
      <c r="K304" s="5">
        <v>14220946</v>
      </c>
      <c r="L304" s="5">
        <v>14251808</v>
      </c>
      <c r="M304" s="6">
        <f t="shared" si="37"/>
        <v>1.00217017911467</v>
      </c>
      <c r="N304" s="5">
        <v>16166164</v>
      </c>
      <c r="O304" s="6">
        <f t="shared" si="38"/>
        <v>1.13678541497872</v>
      </c>
      <c r="P304" s="5">
        <v>7421258</v>
      </c>
      <c r="Q304" s="1">
        <f t="shared" si="39"/>
        <v>0.521854031370346</v>
      </c>
      <c r="S304" s="4">
        <f t="shared" si="32"/>
        <v>1.18580002192664</v>
      </c>
      <c r="T304" s="4">
        <f t="shared" si="33"/>
        <v>1.46566827528326</v>
      </c>
      <c r="U304" s="4">
        <f t="shared" si="34"/>
        <v>2.61402209419267</v>
      </c>
      <c r="V304" s="4">
        <f t="shared" si="35"/>
        <v>2.60120557637256</v>
      </c>
      <c r="W304" s="4">
        <f t="shared" si="36"/>
        <v>2.1152045824449</v>
      </c>
    </row>
    <row r="305" spans="1:23">
      <c r="A305" s="5" t="s">
        <v>322</v>
      </c>
      <c r="B305" s="5">
        <v>72000</v>
      </c>
      <c r="C305" s="5">
        <v>72000</v>
      </c>
      <c r="D305" s="5">
        <v>28715634</v>
      </c>
      <c r="E305" s="5">
        <v>575.049</v>
      </c>
      <c r="F305" s="5">
        <v>459.09</v>
      </c>
      <c r="G305" s="5">
        <v>455.323</v>
      </c>
      <c r="H305" s="5">
        <v>305.237</v>
      </c>
      <c r="I305" s="5">
        <v>265.616</v>
      </c>
      <c r="J305" s="5">
        <v>290.584</v>
      </c>
      <c r="K305" s="5">
        <v>28715634</v>
      </c>
      <c r="L305" s="5">
        <v>28764564</v>
      </c>
      <c r="M305" s="6">
        <f t="shared" si="37"/>
        <v>1.0017039498414</v>
      </c>
      <c r="N305" s="5">
        <v>32640208</v>
      </c>
      <c r="O305" s="6">
        <f t="shared" si="38"/>
        <v>1.13667028908364</v>
      </c>
      <c r="P305" s="5">
        <v>14981138</v>
      </c>
      <c r="Q305" s="1">
        <f t="shared" si="39"/>
        <v>0.521706677275522</v>
      </c>
      <c r="S305" s="4">
        <f t="shared" si="32"/>
        <v>1.25258446056329</v>
      </c>
      <c r="T305" s="4">
        <f t="shared" si="33"/>
        <v>1.26294740217384</v>
      </c>
      <c r="U305" s="4">
        <f t="shared" si="34"/>
        <v>1.88394264129185</v>
      </c>
      <c r="V305" s="4">
        <f t="shared" si="35"/>
        <v>2.1649637070056</v>
      </c>
      <c r="W305" s="4">
        <f t="shared" si="36"/>
        <v>1.9789424056383</v>
      </c>
    </row>
    <row r="306" spans="1:23">
      <c r="A306" s="5" t="s">
        <v>323</v>
      </c>
      <c r="B306" s="5">
        <v>9000</v>
      </c>
      <c r="C306" s="5">
        <v>9000</v>
      </c>
      <c r="D306" s="5">
        <v>3279690</v>
      </c>
      <c r="E306" s="5">
        <v>55.419</v>
      </c>
      <c r="F306" s="5">
        <v>38.616</v>
      </c>
      <c r="G306" s="5">
        <v>39.665</v>
      </c>
      <c r="H306" s="5">
        <v>24.697</v>
      </c>
      <c r="I306" s="5">
        <v>26.795</v>
      </c>
      <c r="J306" s="5">
        <v>32.628</v>
      </c>
      <c r="K306" s="5">
        <v>3279690</v>
      </c>
      <c r="L306" s="5">
        <v>3288416</v>
      </c>
      <c r="M306" s="6">
        <f t="shared" si="37"/>
        <v>1.00266061731444</v>
      </c>
      <c r="N306" s="5">
        <v>3707588</v>
      </c>
      <c r="O306" s="6">
        <f t="shared" si="38"/>
        <v>1.13046903823227</v>
      </c>
      <c r="P306" s="5">
        <v>1709028</v>
      </c>
      <c r="Q306" s="1">
        <f t="shared" si="39"/>
        <v>0.521094371724157</v>
      </c>
      <c r="S306" s="4">
        <f t="shared" si="32"/>
        <v>1.43513051584835</v>
      </c>
      <c r="T306" s="4">
        <f t="shared" si="33"/>
        <v>1.39717635194756</v>
      </c>
      <c r="U306" s="4">
        <f t="shared" si="34"/>
        <v>2.24395675588128</v>
      </c>
      <c r="V306" s="4">
        <f t="shared" si="35"/>
        <v>2.06825900354544</v>
      </c>
      <c r="W306" s="4">
        <f t="shared" si="36"/>
        <v>1.69851048179478</v>
      </c>
    </row>
    <row r="307" spans="1:23">
      <c r="A307" s="5" t="s">
        <v>324</v>
      </c>
      <c r="B307" s="5">
        <v>18000</v>
      </c>
      <c r="C307" s="5">
        <v>18000</v>
      </c>
      <c r="D307" s="5">
        <v>6897316</v>
      </c>
      <c r="E307" s="5">
        <v>155.259</v>
      </c>
      <c r="F307" s="5">
        <v>127.876</v>
      </c>
      <c r="G307" s="5">
        <v>123.957</v>
      </c>
      <c r="H307" s="5">
        <v>57.554</v>
      </c>
      <c r="I307" s="5">
        <v>55.735</v>
      </c>
      <c r="J307" s="5">
        <v>74.922</v>
      </c>
      <c r="K307" s="5">
        <v>6897316</v>
      </c>
      <c r="L307" s="5">
        <v>6914040</v>
      </c>
      <c r="M307" s="6">
        <f t="shared" si="37"/>
        <v>1.00242471129349</v>
      </c>
      <c r="N307" s="5">
        <v>7838612</v>
      </c>
      <c r="O307" s="6">
        <f t="shared" si="38"/>
        <v>1.13647279608474</v>
      </c>
      <c r="P307" s="5">
        <v>3599028</v>
      </c>
      <c r="Q307" s="1">
        <f t="shared" si="39"/>
        <v>0.52180123398725</v>
      </c>
      <c r="S307" s="4">
        <f t="shared" si="32"/>
        <v>1.21413713284745</v>
      </c>
      <c r="T307" s="4">
        <f t="shared" si="33"/>
        <v>1.2525230523488</v>
      </c>
      <c r="U307" s="4">
        <f t="shared" si="34"/>
        <v>2.69762310178267</v>
      </c>
      <c r="V307" s="4">
        <f t="shared" si="35"/>
        <v>2.78566430429712</v>
      </c>
      <c r="W307" s="4">
        <f t="shared" si="36"/>
        <v>2.07227516617282</v>
      </c>
    </row>
    <row r="308" spans="1:23">
      <c r="A308" s="5" t="s">
        <v>325</v>
      </c>
      <c r="B308" s="5">
        <v>9506</v>
      </c>
      <c r="C308" s="5">
        <v>9506</v>
      </c>
      <c r="D308" s="5">
        <v>725054</v>
      </c>
      <c r="E308" s="5">
        <v>11.93</v>
      </c>
      <c r="F308" s="5">
        <v>9.172</v>
      </c>
      <c r="G308" s="5">
        <v>8.292</v>
      </c>
      <c r="H308" s="5">
        <v>5.473</v>
      </c>
      <c r="I308" s="5">
        <v>5.88</v>
      </c>
      <c r="J308" s="5">
        <v>7.511</v>
      </c>
      <c r="K308" s="5">
        <v>725054</v>
      </c>
      <c r="L308" s="5">
        <v>726272</v>
      </c>
      <c r="M308" s="6">
        <f t="shared" si="37"/>
        <v>1.00167987487828</v>
      </c>
      <c r="N308" s="5">
        <v>818684</v>
      </c>
      <c r="O308" s="6">
        <f t="shared" si="38"/>
        <v>1.12913520923959</v>
      </c>
      <c r="P308" s="5">
        <v>381516</v>
      </c>
      <c r="Q308" s="1">
        <f t="shared" si="39"/>
        <v>0.526189773451357</v>
      </c>
      <c r="S308" s="4">
        <f t="shared" si="32"/>
        <v>1.30069777583951</v>
      </c>
      <c r="T308" s="4">
        <f t="shared" si="33"/>
        <v>1.43873613121081</v>
      </c>
      <c r="U308" s="4">
        <f t="shared" si="34"/>
        <v>2.17979170473232</v>
      </c>
      <c r="V308" s="4">
        <f t="shared" si="35"/>
        <v>2.02891156462585</v>
      </c>
      <c r="W308" s="4">
        <f t="shared" si="36"/>
        <v>1.58833710557848</v>
      </c>
    </row>
    <row r="309" spans="1:23">
      <c r="A309" s="5" t="s">
        <v>326</v>
      </c>
      <c r="B309" s="5">
        <v>9506</v>
      </c>
      <c r="C309" s="5">
        <v>9506</v>
      </c>
      <c r="D309" s="5">
        <v>394808</v>
      </c>
      <c r="E309" s="5">
        <v>6.277</v>
      </c>
      <c r="F309" s="5">
        <v>5.19</v>
      </c>
      <c r="G309" s="5">
        <v>4.376</v>
      </c>
      <c r="H309" s="5">
        <v>3.464</v>
      </c>
      <c r="I309" s="5">
        <v>3.581</v>
      </c>
      <c r="J309" s="5">
        <v>4.484</v>
      </c>
      <c r="K309" s="5">
        <v>394808</v>
      </c>
      <c r="L309" s="5">
        <v>395416</v>
      </c>
      <c r="M309" s="6">
        <f t="shared" si="37"/>
        <v>1.00153998905797</v>
      </c>
      <c r="N309" s="5">
        <v>486820</v>
      </c>
      <c r="O309" s="6">
        <f t="shared" si="38"/>
        <v>1.23305505460882</v>
      </c>
      <c r="P309" s="5">
        <v>212114</v>
      </c>
      <c r="Q309" s="1">
        <f t="shared" si="39"/>
        <v>0.53725861684667</v>
      </c>
      <c r="S309" s="4">
        <f t="shared" si="32"/>
        <v>1.20944123314065</v>
      </c>
      <c r="T309" s="4">
        <f t="shared" si="33"/>
        <v>1.43441499085923</v>
      </c>
      <c r="U309" s="4">
        <f t="shared" si="34"/>
        <v>1.81206697459584</v>
      </c>
      <c r="V309" s="4">
        <f t="shared" si="35"/>
        <v>1.75286232895839</v>
      </c>
      <c r="W309" s="4">
        <f t="shared" si="36"/>
        <v>1.39986619090098</v>
      </c>
    </row>
    <row r="310" spans="1:23">
      <c r="A310" s="5" t="s">
        <v>327</v>
      </c>
      <c r="B310" s="5">
        <v>9506</v>
      </c>
      <c r="C310" s="5">
        <v>9506</v>
      </c>
      <c r="D310" s="5">
        <v>394808</v>
      </c>
      <c r="E310" s="5">
        <v>6.33</v>
      </c>
      <c r="F310" s="5">
        <v>5.223</v>
      </c>
      <c r="G310" s="5">
        <v>4.43</v>
      </c>
      <c r="H310" s="5">
        <v>3.455</v>
      </c>
      <c r="I310" s="5">
        <v>3.665</v>
      </c>
      <c r="J310" s="5">
        <v>4.453</v>
      </c>
      <c r="K310" s="5">
        <v>394808</v>
      </c>
      <c r="L310" s="5">
        <v>395416</v>
      </c>
      <c r="M310" s="6">
        <f t="shared" si="37"/>
        <v>1.00153998905797</v>
      </c>
      <c r="N310" s="5">
        <v>486820</v>
      </c>
      <c r="O310" s="6">
        <f t="shared" si="38"/>
        <v>1.23305505460882</v>
      </c>
      <c r="P310" s="5">
        <v>212114</v>
      </c>
      <c r="Q310" s="1">
        <f t="shared" si="39"/>
        <v>0.53725861684667</v>
      </c>
      <c r="S310" s="4">
        <f t="shared" si="32"/>
        <v>1.21194715680643</v>
      </c>
      <c r="T310" s="4">
        <f t="shared" si="33"/>
        <v>1.42889390519187</v>
      </c>
      <c r="U310" s="4">
        <f t="shared" si="34"/>
        <v>1.83212735166425</v>
      </c>
      <c r="V310" s="4">
        <f t="shared" si="35"/>
        <v>1.72714870395634</v>
      </c>
      <c r="W310" s="4">
        <f t="shared" si="36"/>
        <v>1.42151358634628</v>
      </c>
    </row>
    <row r="311" spans="1:23">
      <c r="A311" s="5" t="s">
        <v>328</v>
      </c>
      <c r="B311" s="5">
        <v>9506</v>
      </c>
      <c r="C311" s="5">
        <v>9506</v>
      </c>
      <c r="D311" s="5">
        <v>394808</v>
      </c>
      <c r="E311" s="5">
        <v>6.355</v>
      </c>
      <c r="F311" s="5">
        <v>5.248</v>
      </c>
      <c r="G311" s="5">
        <v>4.405</v>
      </c>
      <c r="H311" s="5">
        <v>3.441</v>
      </c>
      <c r="I311" s="5">
        <v>3.66</v>
      </c>
      <c r="J311" s="5">
        <v>4.489</v>
      </c>
      <c r="K311" s="5">
        <v>394808</v>
      </c>
      <c r="L311" s="5">
        <v>395416</v>
      </c>
      <c r="M311" s="6">
        <f t="shared" si="37"/>
        <v>1.00153998905797</v>
      </c>
      <c r="N311" s="5">
        <v>486820</v>
      </c>
      <c r="O311" s="6">
        <f t="shared" si="38"/>
        <v>1.23305505460882</v>
      </c>
      <c r="P311" s="5">
        <v>212114</v>
      </c>
      <c r="Q311" s="1">
        <f t="shared" si="39"/>
        <v>0.53725861684667</v>
      </c>
      <c r="S311" s="4">
        <f t="shared" si="32"/>
        <v>1.2109375</v>
      </c>
      <c r="T311" s="4">
        <f t="shared" si="33"/>
        <v>1.44267877412032</v>
      </c>
      <c r="U311" s="4">
        <f t="shared" si="34"/>
        <v>1.84684684684685</v>
      </c>
      <c r="V311" s="4">
        <f t="shared" si="35"/>
        <v>1.73633879781421</v>
      </c>
      <c r="W311" s="4">
        <f t="shared" si="36"/>
        <v>1.4156827801292</v>
      </c>
    </row>
    <row r="312" spans="1:23">
      <c r="A312" s="5" t="s">
        <v>329</v>
      </c>
      <c r="B312" s="5">
        <v>9506</v>
      </c>
      <c r="C312" s="5">
        <v>9506</v>
      </c>
      <c r="D312" s="5">
        <v>394808</v>
      </c>
      <c r="E312" s="5">
        <v>6.319</v>
      </c>
      <c r="F312" s="5">
        <v>5.218</v>
      </c>
      <c r="G312" s="5">
        <v>4.405</v>
      </c>
      <c r="H312" s="5">
        <v>3.458</v>
      </c>
      <c r="I312" s="5">
        <v>3.644</v>
      </c>
      <c r="J312" s="5">
        <v>4.454</v>
      </c>
      <c r="K312" s="5">
        <v>394808</v>
      </c>
      <c r="L312" s="5">
        <v>395416</v>
      </c>
      <c r="M312" s="6">
        <f t="shared" si="37"/>
        <v>1.00153998905797</v>
      </c>
      <c r="N312" s="5">
        <v>486820</v>
      </c>
      <c r="O312" s="6">
        <f t="shared" si="38"/>
        <v>1.23305505460882</v>
      </c>
      <c r="P312" s="5">
        <v>212114</v>
      </c>
      <c r="Q312" s="1">
        <f t="shared" si="39"/>
        <v>0.53725861684667</v>
      </c>
      <c r="S312" s="4">
        <f t="shared" si="32"/>
        <v>1.21100038328862</v>
      </c>
      <c r="T312" s="4">
        <f t="shared" si="33"/>
        <v>1.43450624290579</v>
      </c>
      <c r="U312" s="4">
        <f t="shared" si="34"/>
        <v>1.82735685367264</v>
      </c>
      <c r="V312" s="4">
        <f t="shared" si="35"/>
        <v>1.7340834248079</v>
      </c>
      <c r="W312" s="4">
        <f t="shared" si="36"/>
        <v>1.41872474180512</v>
      </c>
    </row>
    <row r="313" spans="1:23">
      <c r="A313" s="5" t="s">
        <v>330</v>
      </c>
      <c r="B313" s="5">
        <v>9506</v>
      </c>
      <c r="C313" s="5">
        <v>9506</v>
      </c>
      <c r="D313" s="5">
        <v>394808</v>
      </c>
      <c r="E313" s="5">
        <v>6.273</v>
      </c>
      <c r="F313" s="5">
        <v>5.177</v>
      </c>
      <c r="G313" s="5">
        <v>4.475</v>
      </c>
      <c r="H313" s="5">
        <v>3.399</v>
      </c>
      <c r="I313" s="5">
        <v>3.6</v>
      </c>
      <c r="J313" s="5">
        <v>4.459</v>
      </c>
      <c r="K313" s="5">
        <v>394808</v>
      </c>
      <c r="L313" s="5">
        <v>395416</v>
      </c>
      <c r="M313" s="6">
        <f t="shared" si="37"/>
        <v>1.00153998905797</v>
      </c>
      <c r="N313" s="5">
        <v>486820</v>
      </c>
      <c r="O313" s="6">
        <f t="shared" si="38"/>
        <v>1.23305505460882</v>
      </c>
      <c r="P313" s="5">
        <v>212114</v>
      </c>
      <c r="Q313" s="1">
        <f t="shared" si="39"/>
        <v>0.53725861684667</v>
      </c>
      <c r="S313" s="4">
        <f t="shared" si="32"/>
        <v>1.21170562101603</v>
      </c>
      <c r="T313" s="4">
        <f t="shared" si="33"/>
        <v>1.40178770949721</v>
      </c>
      <c r="U313" s="4">
        <f t="shared" si="34"/>
        <v>1.84554280670786</v>
      </c>
      <c r="V313" s="4">
        <f t="shared" si="35"/>
        <v>1.7425</v>
      </c>
      <c r="W313" s="4">
        <f t="shared" si="36"/>
        <v>1.40681767212379</v>
      </c>
    </row>
    <row r="314" spans="1:23">
      <c r="A314" s="5" t="s">
        <v>331</v>
      </c>
      <c r="B314" s="5">
        <v>9506</v>
      </c>
      <c r="C314" s="5">
        <v>9506</v>
      </c>
      <c r="D314" s="5">
        <v>394812</v>
      </c>
      <c r="E314" s="5">
        <v>6.31</v>
      </c>
      <c r="F314" s="5">
        <v>5.23</v>
      </c>
      <c r="G314" s="5">
        <v>4.406</v>
      </c>
      <c r="H314" s="5">
        <v>3.441</v>
      </c>
      <c r="I314" s="5">
        <v>3.651</v>
      </c>
      <c r="J314" s="5">
        <v>4.465</v>
      </c>
      <c r="K314" s="5">
        <v>394812</v>
      </c>
      <c r="L314" s="5">
        <v>395420</v>
      </c>
      <c r="M314" s="6">
        <f t="shared" si="37"/>
        <v>1.00153997345572</v>
      </c>
      <c r="N314" s="5">
        <v>486820</v>
      </c>
      <c r="O314" s="6">
        <f t="shared" si="38"/>
        <v>1.23304256202952</v>
      </c>
      <c r="P314" s="5">
        <v>212118</v>
      </c>
      <c r="Q314" s="1">
        <f t="shared" si="39"/>
        <v>0.537263305066715</v>
      </c>
      <c r="S314" s="4">
        <f t="shared" si="32"/>
        <v>1.20650095602294</v>
      </c>
      <c r="T314" s="4">
        <f t="shared" si="33"/>
        <v>1.43213799364503</v>
      </c>
      <c r="U314" s="4">
        <f t="shared" si="34"/>
        <v>1.83376925312409</v>
      </c>
      <c r="V314" s="4">
        <f t="shared" si="35"/>
        <v>1.7282936181868</v>
      </c>
      <c r="W314" s="4">
        <f t="shared" si="36"/>
        <v>1.41321388577828</v>
      </c>
    </row>
    <row r="315" spans="1:23">
      <c r="A315" s="5" t="s">
        <v>332</v>
      </c>
      <c r="B315" s="5">
        <v>9506</v>
      </c>
      <c r="C315" s="5">
        <v>9506</v>
      </c>
      <c r="D315" s="5">
        <v>394816</v>
      </c>
      <c r="E315" s="5">
        <v>6.352</v>
      </c>
      <c r="F315" s="5">
        <v>5.243</v>
      </c>
      <c r="G315" s="5">
        <v>4.366</v>
      </c>
      <c r="H315" s="5">
        <v>3.488</v>
      </c>
      <c r="I315" s="5">
        <v>3.685</v>
      </c>
      <c r="J315" s="5">
        <v>4.479</v>
      </c>
      <c r="K315" s="5">
        <v>394816</v>
      </c>
      <c r="L315" s="5">
        <v>395420</v>
      </c>
      <c r="M315" s="6">
        <f t="shared" si="37"/>
        <v>1.00152982655212</v>
      </c>
      <c r="N315" s="5">
        <v>486820</v>
      </c>
      <c r="O315" s="6">
        <f t="shared" si="38"/>
        <v>1.23303006970336</v>
      </c>
      <c r="P315" s="5">
        <v>212118</v>
      </c>
      <c r="Q315" s="1">
        <f t="shared" si="39"/>
        <v>0.537257861890096</v>
      </c>
      <c r="S315" s="4">
        <f t="shared" si="32"/>
        <v>1.21152012206752</v>
      </c>
      <c r="T315" s="4">
        <f t="shared" si="33"/>
        <v>1.45487860742098</v>
      </c>
      <c r="U315" s="4">
        <f t="shared" si="34"/>
        <v>1.82110091743119</v>
      </c>
      <c r="V315" s="4">
        <f t="shared" si="35"/>
        <v>1.72374491180461</v>
      </c>
      <c r="W315" s="4">
        <f t="shared" si="36"/>
        <v>1.41817369948649</v>
      </c>
    </row>
    <row r="316" spans="1:23">
      <c r="A316" s="5" t="s">
        <v>333</v>
      </c>
      <c r="B316" s="5">
        <v>9506</v>
      </c>
      <c r="C316" s="5">
        <v>9506</v>
      </c>
      <c r="D316" s="5">
        <v>395506</v>
      </c>
      <c r="E316" s="5">
        <v>6.302</v>
      </c>
      <c r="F316" s="5">
        <v>5.18</v>
      </c>
      <c r="G316" s="5">
        <v>4.409</v>
      </c>
      <c r="H316" s="5">
        <v>3.434</v>
      </c>
      <c r="I316" s="5">
        <v>3.658</v>
      </c>
      <c r="J316" s="5">
        <v>4.474</v>
      </c>
      <c r="K316" s="5">
        <v>395506</v>
      </c>
      <c r="L316" s="5">
        <v>396128</v>
      </c>
      <c r="M316" s="6">
        <f t="shared" si="37"/>
        <v>1.00157266893549</v>
      </c>
      <c r="N316" s="5">
        <v>488368</v>
      </c>
      <c r="O316" s="6">
        <f t="shared" si="38"/>
        <v>1.23479289821141</v>
      </c>
      <c r="P316" s="5">
        <v>212342</v>
      </c>
      <c r="Q316" s="1">
        <f t="shared" si="39"/>
        <v>0.536886924597857</v>
      </c>
      <c r="S316" s="4">
        <f t="shared" si="32"/>
        <v>1.21660231660232</v>
      </c>
      <c r="T316" s="4">
        <f t="shared" si="33"/>
        <v>1.42934905874348</v>
      </c>
      <c r="U316" s="4">
        <f t="shared" si="34"/>
        <v>1.8351776354106</v>
      </c>
      <c r="V316" s="4">
        <f t="shared" si="35"/>
        <v>1.72279934390377</v>
      </c>
      <c r="W316" s="4">
        <f t="shared" si="36"/>
        <v>1.40858292355834</v>
      </c>
    </row>
    <row r="317" spans="1:23">
      <c r="A317" s="5" t="s">
        <v>334</v>
      </c>
      <c r="B317" s="5">
        <v>9506</v>
      </c>
      <c r="C317" s="5">
        <v>9506</v>
      </c>
      <c r="D317" s="5">
        <v>401448</v>
      </c>
      <c r="E317" s="5">
        <v>6.259</v>
      </c>
      <c r="F317" s="5">
        <v>5.182</v>
      </c>
      <c r="G317" s="5">
        <v>4.268</v>
      </c>
      <c r="H317" s="5">
        <v>3.503</v>
      </c>
      <c r="I317" s="5">
        <v>3.664</v>
      </c>
      <c r="J317" s="5">
        <v>4.481</v>
      </c>
      <c r="K317" s="5">
        <v>401448</v>
      </c>
      <c r="L317" s="5">
        <v>402084</v>
      </c>
      <c r="M317" s="6">
        <f t="shared" si="37"/>
        <v>1.00158426496084</v>
      </c>
      <c r="N317" s="5">
        <v>491124</v>
      </c>
      <c r="O317" s="6">
        <f t="shared" si="38"/>
        <v>1.22338135947869</v>
      </c>
      <c r="P317" s="5">
        <v>213412</v>
      </c>
      <c r="Q317" s="1">
        <f t="shared" si="39"/>
        <v>0.531605587772264</v>
      </c>
      <c r="S317" s="4">
        <f t="shared" si="32"/>
        <v>1.20783481281359</v>
      </c>
      <c r="T317" s="4">
        <f t="shared" si="33"/>
        <v>1.46649484536082</v>
      </c>
      <c r="U317" s="4">
        <f t="shared" si="34"/>
        <v>1.78675421067656</v>
      </c>
      <c r="V317" s="4">
        <f t="shared" si="35"/>
        <v>1.7082423580786</v>
      </c>
      <c r="W317" s="4">
        <f t="shared" si="36"/>
        <v>1.39678643160009</v>
      </c>
    </row>
    <row r="318" spans="1:23">
      <c r="A318" s="5" t="s">
        <v>335</v>
      </c>
      <c r="B318" s="5">
        <v>9506</v>
      </c>
      <c r="C318" s="5">
        <v>9506</v>
      </c>
      <c r="D318" s="5">
        <v>408264</v>
      </c>
      <c r="E318" s="5">
        <v>6.559</v>
      </c>
      <c r="F318" s="5">
        <v>5.42</v>
      </c>
      <c r="G318" s="5">
        <v>4.647</v>
      </c>
      <c r="H318" s="5">
        <v>3.529</v>
      </c>
      <c r="I318" s="5">
        <v>3.693</v>
      </c>
      <c r="J318" s="5">
        <v>4.54</v>
      </c>
      <c r="K318" s="5">
        <v>408264</v>
      </c>
      <c r="L318" s="5">
        <v>408824</v>
      </c>
      <c r="M318" s="6">
        <f t="shared" si="37"/>
        <v>1.00137166147395</v>
      </c>
      <c r="N318" s="5">
        <v>498752</v>
      </c>
      <c r="O318" s="6">
        <f t="shared" si="38"/>
        <v>1.22164089902612</v>
      </c>
      <c r="P318" s="5">
        <v>219966</v>
      </c>
      <c r="Q318" s="1">
        <f t="shared" si="39"/>
        <v>0.538783728175886</v>
      </c>
      <c r="S318" s="4">
        <f t="shared" si="32"/>
        <v>1.21014760147601</v>
      </c>
      <c r="T318" s="4">
        <f t="shared" si="33"/>
        <v>1.41144824618033</v>
      </c>
      <c r="U318" s="4">
        <f t="shared" si="34"/>
        <v>1.85860017001984</v>
      </c>
      <c r="V318" s="4">
        <f t="shared" si="35"/>
        <v>1.77606282155429</v>
      </c>
      <c r="W318" s="4">
        <f t="shared" si="36"/>
        <v>1.44471365638767</v>
      </c>
    </row>
    <row r="319" spans="1:23">
      <c r="A319" s="5" t="s">
        <v>336</v>
      </c>
      <c r="B319" s="5">
        <v>9506</v>
      </c>
      <c r="C319" s="5">
        <v>9506</v>
      </c>
      <c r="D319" s="5">
        <v>446818</v>
      </c>
      <c r="E319" s="5">
        <v>7.282</v>
      </c>
      <c r="F319" s="5">
        <v>5.913</v>
      </c>
      <c r="G319" s="5">
        <v>5.092</v>
      </c>
      <c r="H319" s="5">
        <v>3.806</v>
      </c>
      <c r="I319" s="5">
        <v>4.054</v>
      </c>
      <c r="J319" s="5">
        <v>4.93</v>
      </c>
      <c r="K319" s="5">
        <v>446818</v>
      </c>
      <c r="L319" s="5">
        <v>447316</v>
      </c>
      <c r="M319" s="6">
        <f t="shared" si="37"/>
        <v>1.0011145477577</v>
      </c>
      <c r="N319" s="5">
        <v>542688</v>
      </c>
      <c r="O319" s="6">
        <f t="shared" si="38"/>
        <v>1.21456163359578</v>
      </c>
      <c r="P319" s="5">
        <v>241040</v>
      </c>
      <c r="Q319" s="1">
        <f t="shared" si="39"/>
        <v>0.539459019108451</v>
      </c>
      <c r="S319" s="4">
        <f t="shared" si="32"/>
        <v>1.23152376120413</v>
      </c>
      <c r="T319" s="4">
        <f t="shared" si="33"/>
        <v>1.43008641005499</v>
      </c>
      <c r="U319" s="4">
        <f t="shared" si="34"/>
        <v>1.91329479768786</v>
      </c>
      <c r="V319" s="4">
        <f t="shared" si="35"/>
        <v>1.79625061667489</v>
      </c>
      <c r="W319" s="4">
        <f t="shared" si="36"/>
        <v>1.47707910750507</v>
      </c>
    </row>
    <row r="320" spans="1:23">
      <c r="A320" s="5" t="s">
        <v>337</v>
      </c>
      <c r="B320" s="5">
        <v>9506</v>
      </c>
      <c r="C320" s="5">
        <v>9506</v>
      </c>
      <c r="D320" s="5">
        <v>474472</v>
      </c>
      <c r="E320" s="5">
        <v>7.558</v>
      </c>
      <c r="F320" s="5">
        <v>6.087</v>
      </c>
      <c r="G320" s="5">
        <v>5.204</v>
      </c>
      <c r="H320" s="5">
        <v>3.923</v>
      </c>
      <c r="I320" s="5">
        <v>4.208</v>
      </c>
      <c r="J320" s="5">
        <v>5.216</v>
      </c>
      <c r="K320" s="5">
        <v>474472</v>
      </c>
      <c r="L320" s="5">
        <v>475120</v>
      </c>
      <c r="M320" s="6">
        <f t="shared" si="37"/>
        <v>1.00136572864152</v>
      </c>
      <c r="N320" s="5">
        <v>569516</v>
      </c>
      <c r="O320" s="6">
        <f t="shared" si="38"/>
        <v>1.20031529784687</v>
      </c>
      <c r="P320" s="5">
        <v>254650</v>
      </c>
      <c r="Q320" s="1">
        <f t="shared" si="39"/>
        <v>0.536701849634963</v>
      </c>
      <c r="S320" s="4">
        <f t="shared" si="32"/>
        <v>1.24166255955315</v>
      </c>
      <c r="T320" s="4">
        <f t="shared" si="33"/>
        <v>1.45234435049962</v>
      </c>
      <c r="U320" s="4">
        <f t="shared" si="34"/>
        <v>1.92658679581953</v>
      </c>
      <c r="V320" s="4">
        <f t="shared" si="35"/>
        <v>1.79610266159696</v>
      </c>
      <c r="W320" s="4">
        <f t="shared" si="36"/>
        <v>1.44900306748466</v>
      </c>
    </row>
    <row r="321" spans="1:23">
      <c r="A321" s="5" t="s">
        <v>338</v>
      </c>
      <c r="B321" s="5">
        <v>9506</v>
      </c>
      <c r="C321" s="5">
        <v>9506</v>
      </c>
      <c r="D321" s="5">
        <v>496144</v>
      </c>
      <c r="E321" s="5">
        <v>8.138</v>
      </c>
      <c r="F321" s="5">
        <v>6.487</v>
      </c>
      <c r="G321" s="5">
        <v>5.617</v>
      </c>
      <c r="H321" s="5">
        <v>4.01</v>
      </c>
      <c r="I321" s="5">
        <v>4.337</v>
      </c>
      <c r="J321" s="5">
        <v>5.347</v>
      </c>
      <c r="K321" s="5">
        <v>496144</v>
      </c>
      <c r="L321" s="5">
        <v>496652</v>
      </c>
      <c r="M321" s="6">
        <f t="shared" si="37"/>
        <v>1.00102389628817</v>
      </c>
      <c r="N321" s="5">
        <v>592588</v>
      </c>
      <c r="O321" s="6">
        <f t="shared" si="38"/>
        <v>1.19438711341868</v>
      </c>
      <c r="P321" s="5">
        <v>266632</v>
      </c>
      <c r="Q321" s="1">
        <f t="shared" si="39"/>
        <v>0.537408494308104</v>
      </c>
      <c r="S321" s="4">
        <f t="shared" si="32"/>
        <v>1.25450901803607</v>
      </c>
      <c r="T321" s="4">
        <f t="shared" si="33"/>
        <v>1.44881609400036</v>
      </c>
      <c r="U321" s="4">
        <f t="shared" si="34"/>
        <v>2.02942643391521</v>
      </c>
      <c r="V321" s="4">
        <f t="shared" si="35"/>
        <v>1.87641226654369</v>
      </c>
      <c r="W321" s="4">
        <f t="shared" si="36"/>
        <v>1.52197493921825</v>
      </c>
    </row>
    <row r="322" spans="1:23">
      <c r="A322" s="5" t="s">
        <v>339</v>
      </c>
      <c r="B322" s="5">
        <v>9506</v>
      </c>
      <c r="C322" s="5">
        <v>9506</v>
      </c>
      <c r="D322" s="5">
        <v>539802</v>
      </c>
      <c r="E322" s="5">
        <v>9.009</v>
      </c>
      <c r="F322" s="5">
        <v>7.077</v>
      </c>
      <c r="G322" s="5">
        <v>6.218</v>
      </c>
      <c r="H322" s="5">
        <v>4.223</v>
      </c>
      <c r="I322" s="5">
        <v>4.662</v>
      </c>
      <c r="J322" s="5">
        <v>5.825</v>
      </c>
      <c r="K322" s="5">
        <v>539802</v>
      </c>
      <c r="L322" s="5">
        <v>540384</v>
      </c>
      <c r="M322" s="6">
        <f t="shared" si="37"/>
        <v>1.00107817310792</v>
      </c>
      <c r="N322" s="5">
        <v>638868</v>
      </c>
      <c r="O322" s="6">
        <f t="shared" si="38"/>
        <v>1.18352284726622</v>
      </c>
      <c r="P322" s="5">
        <v>287502</v>
      </c>
      <c r="Q322" s="1">
        <f t="shared" si="39"/>
        <v>0.53260640012449</v>
      </c>
      <c r="S322" s="4">
        <f t="shared" ref="S322:S385" si="40">E322/F322</f>
        <v>1.27299703264095</v>
      </c>
      <c r="T322" s="4">
        <f t="shared" ref="T322:T385" si="41">E322/G322</f>
        <v>1.44885815374719</v>
      </c>
      <c r="U322" s="4">
        <f t="shared" ref="U322:U385" si="42">E322/H322</f>
        <v>2.1333175467677</v>
      </c>
      <c r="V322" s="4">
        <f t="shared" ref="V322:V385" si="43">E322/I322</f>
        <v>1.93243243243243</v>
      </c>
      <c r="W322" s="4">
        <f t="shared" ref="W322:W385" si="44">E322/J322</f>
        <v>1.54660944206009</v>
      </c>
    </row>
    <row r="323" spans="1:23">
      <c r="A323" s="5" t="s">
        <v>340</v>
      </c>
      <c r="B323" s="5">
        <v>9506</v>
      </c>
      <c r="C323" s="5">
        <v>9506</v>
      </c>
      <c r="D323" s="5">
        <v>587012</v>
      </c>
      <c r="E323" s="5">
        <v>9.833</v>
      </c>
      <c r="F323" s="5">
        <v>7.582</v>
      </c>
      <c r="G323" s="5">
        <v>6.79</v>
      </c>
      <c r="H323" s="5">
        <v>4.534</v>
      </c>
      <c r="I323" s="5">
        <v>4.939</v>
      </c>
      <c r="J323" s="5">
        <v>6.192</v>
      </c>
      <c r="K323" s="5">
        <v>587012</v>
      </c>
      <c r="L323" s="5">
        <v>587532</v>
      </c>
      <c r="M323" s="6">
        <f t="shared" ref="M323:M386" si="45">L323/K323</f>
        <v>1.00088584219743</v>
      </c>
      <c r="N323" s="5">
        <v>676712</v>
      </c>
      <c r="O323" s="6">
        <f t="shared" ref="O323:O386" si="46">N323/K323</f>
        <v>1.15280777905733</v>
      </c>
      <c r="P323" s="5">
        <v>312344</v>
      </c>
      <c r="Q323" s="1">
        <f t="shared" ref="Q323:Q386" si="47">P323/K323</f>
        <v>0.532091337144726</v>
      </c>
      <c r="S323" s="4">
        <f t="shared" si="40"/>
        <v>1.2968873648114</v>
      </c>
      <c r="T323" s="4">
        <f t="shared" si="41"/>
        <v>1.44815905743741</v>
      </c>
      <c r="U323" s="4">
        <f t="shared" si="42"/>
        <v>2.16872518747243</v>
      </c>
      <c r="V323" s="4">
        <f t="shared" si="43"/>
        <v>1.99088884389553</v>
      </c>
      <c r="W323" s="4">
        <f t="shared" si="44"/>
        <v>1.58801679586563</v>
      </c>
    </row>
    <row r="324" spans="1:23">
      <c r="A324" s="5" t="s">
        <v>341</v>
      </c>
      <c r="B324" s="5">
        <v>9506</v>
      </c>
      <c r="C324" s="5">
        <v>9506</v>
      </c>
      <c r="D324" s="5">
        <v>629620</v>
      </c>
      <c r="E324" s="5">
        <v>10.402</v>
      </c>
      <c r="F324" s="5">
        <v>7.908</v>
      </c>
      <c r="G324" s="5">
        <v>7.263</v>
      </c>
      <c r="H324" s="5">
        <v>4.825</v>
      </c>
      <c r="I324" s="5">
        <v>5.247</v>
      </c>
      <c r="J324" s="5">
        <v>6.722</v>
      </c>
      <c r="K324" s="5">
        <v>629620</v>
      </c>
      <c r="L324" s="5">
        <v>630128</v>
      </c>
      <c r="M324" s="6">
        <f t="shared" si="45"/>
        <v>1.00080683586925</v>
      </c>
      <c r="N324" s="5">
        <v>713476</v>
      </c>
      <c r="O324" s="6">
        <f t="shared" si="46"/>
        <v>1.13318509577205</v>
      </c>
      <c r="P324" s="5">
        <v>335366</v>
      </c>
      <c r="Q324" s="1">
        <f t="shared" si="47"/>
        <v>0.532648264032273</v>
      </c>
      <c r="S324" s="4">
        <f t="shared" si="40"/>
        <v>1.31537683358624</v>
      </c>
      <c r="T324" s="4">
        <f t="shared" si="41"/>
        <v>1.43219055486713</v>
      </c>
      <c r="U324" s="4">
        <f t="shared" si="42"/>
        <v>2.15585492227979</v>
      </c>
      <c r="V324" s="4">
        <f t="shared" si="43"/>
        <v>1.98246617114542</v>
      </c>
      <c r="W324" s="4">
        <f t="shared" si="44"/>
        <v>1.54745611425171</v>
      </c>
    </row>
    <row r="325" spans="1:23">
      <c r="A325" s="5" t="s">
        <v>342</v>
      </c>
      <c r="B325" s="5">
        <v>9506</v>
      </c>
      <c r="C325" s="5">
        <v>9506</v>
      </c>
      <c r="D325" s="5">
        <v>695234</v>
      </c>
      <c r="E325" s="5">
        <v>11.518</v>
      </c>
      <c r="F325" s="5">
        <v>10.907</v>
      </c>
      <c r="G325" s="5">
        <v>7.899</v>
      </c>
      <c r="H325" s="5">
        <v>5.247</v>
      </c>
      <c r="I325" s="5">
        <v>5.647</v>
      </c>
      <c r="J325" s="5">
        <v>7.216</v>
      </c>
      <c r="K325" s="5">
        <v>695234</v>
      </c>
      <c r="L325" s="5">
        <v>695840</v>
      </c>
      <c r="M325" s="6">
        <f t="shared" si="45"/>
        <v>1.00087164896999</v>
      </c>
      <c r="N325" s="5">
        <v>779812</v>
      </c>
      <c r="O325" s="6">
        <f t="shared" si="46"/>
        <v>1.12165400426331</v>
      </c>
      <c r="P325" s="5">
        <v>365068</v>
      </c>
      <c r="Q325" s="1">
        <f t="shared" si="47"/>
        <v>0.525100901279282</v>
      </c>
      <c r="S325" s="4">
        <f t="shared" si="40"/>
        <v>1.05601907032181</v>
      </c>
      <c r="T325" s="4">
        <f t="shared" si="41"/>
        <v>1.45815926066591</v>
      </c>
      <c r="U325" s="4">
        <f t="shared" si="42"/>
        <v>2.19515913855537</v>
      </c>
      <c r="V325" s="4">
        <f t="shared" si="43"/>
        <v>2.03966707986542</v>
      </c>
      <c r="W325" s="4">
        <f t="shared" si="44"/>
        <v>1.59617516629712</v>
      </c>
    </row>
    <row r="326" spans="1:23">
      <c r="A326" s="5" t="s">
        <v>343</v>
      </c>
      <c r="B326" s="5">
        <v>9506</v>
      </c>
      <c r="C326" s="5">
        <v>9506</v>
      </c>
      <c r="D326" s="5">
        <v>818302</v>
      </c>
      <c r="E326" s="5">
        <v>13.399</v>
      </c>
      <c r="F326" s="5">
        <v>10.201</v>
      </c>
      <c r="G326" s="5">
        <v>9.261</v>
      </c>
      <c r="H326" s="5">
        <v>6.182</v>
      </c>
      <c r="I326" s="5">
        <v>6.581</v>
      </c>
      <c r="J326" s="5">
        <v>8.397</v>
      </c>
      <c r="K326" s="5">
        <v>818302</v>
      </c>
      <c r="L326" s="5">
        <v>819120</v>
      </c>
      <c r="M326" s="6">
        <f t="shared" si="45"/>
        <v>1.0009996309431</v>
      </c>
      <c r="N326" s="5">
        <v>913276</v>
      </c>
      <c r="O326" s="6">
        <f t="shared" si="46"/>
        <v>1.11606228507324</v>
      </c>
      <c r="P326" s="5">
        <v>429622</v>
      </c>
      <c r="Q326" s="1">
        <f t="shared" si="47"/>
        <v>0.525016436474553</v>
      </c>
      <c r="S326" s="4">
        <f t="shared" si="40"/>
        <v>1.31349867660033</v>
      </c>
      <c r="T326" s="4">
        <f t="shared" si="41"/>
        <v>1.44681999784041</v>
      </c>
      <c r="U326" s="4">
        <f t="shared" si="42"/>
        <v>2.1674215464251</v>
      </c>
      <c r="V326" s="4">
        <f t="shared" si="43"/>
        <v>2.03601276401763</v>
      </c>
      <c r="W326" s="4">
        <f t="shared" si="44"/>
        <v>1.59568893652495</v>
      </c>
    </row>
    <row r="327" spans="1:23">
      <c r="A327" s="5" t="s">
        <v>344</v>
      </c>
      <c r="B327" s="5">
        <v>9506</v>
      </c>
      <c r="C327" s="5">
        <v>9506</v>
      </c>
      <c r="D327" s="5">
        <v>971870</v>
      </c>
      <c r="E327" s="5">
        <v>15.77</v>
      </c>
      <c r="F327" s="5">
        <v>11.74</v>
      </c>
      <c r="G327" s="5">
        <v>10.854</v>
      </c>
      <c r="H327" s="5">
        <v>7.268</v>
      </c>
      <c r="I327" s="5">
        <v>7.923</v>
      </c>
      <c r="J327" s="5">
        <v>10.466</v>
      </c>
      <c r="K327" s="5">
        <v>971870</v>
      </c>
      <c r="L327" s="5">
        <v>973072</v>
      </c>
      <c r="M327" s="6">
        <f t="shared" si="45"/>
        <v>1.00123679092883</v>
      </c>
      <c r="N327" s="5">
        <v>1081224</v>
      </c>
      <c r="O327" s="6">
        <f t="shared" si="46"/>
        <v>1.11251916408573</v>
      </c>
      <c r="P327" s="5">
        <v>510578</v>
      </c>
      <c r="Q327" s="1">
        <f t="shared" si="47"/>
        <v>0.525356271929373</v>
      </c>
      <c r="S327" s="4">
        <f t="shared" si="40"/>
        <v>1.34327086882453</v>
      </c>
      <c r="T327" s="4">
        <f t="shared" si="41"/>
        <v>1.45292058227382</v>
      </c>
      <c r="U327" s="4">
        <f t="shared" si="42"/>
        <v>2.16978536048431</v>
      </c>
      <c r="V327" s="4">
        <f t="shared" si="43"/>
        <v>1.99040767386091</v>
      </c>
      <c r="W327" s="4">
        <f t="shared" si="44"/>
        <v>1.50678387158418</v>
      </c>
    </row>
    <row r="328" spans="1:23">
      <c r="A328" s="5" t="s">
        <v>345</v>
      </c>
      <c r="B328" s="5">
        <v>9506</v>
      </c>
      <c r="C328" s="5">
        <v>9506</v>
      </c>
      <c r="D328" s="5">
        <v>1173746</v>
      </c>
      <c r="E328" s="5">
        <v>19.12</v>
      </c>
      <c r="F328" s="5">
        <v>13.863</v>
      </c>
      <c r="G328" s="5">
        <v>13.41</v>
      </c>
      <c r="H328" s="5">
        <v>8.497</v>
      </c>
      <c r="I328" s="5">
        <v>9.462</v>
      </c>
      <c r="J328" s="5">
        <v>11.764</v>
      </c>
      <c r="K328" s="5">
        <v>1173746</v>
      </c>
      <c r="L328" s="5">
        <v>1175192</v>
      </c>
      <c r="M328" s="6">
        <f t="shared" si="45"/>
        <v>1.00123195308014</v>
      </c>
      <c r="N328" s="5">
        <v>1268912</v>
      </c>
      <c r="O328" s="6">
        <f t="shared" si="46"/>
        <v>1.08107887055632</v>
      </c>
      <c r="P328" s="5">
        <v>608086</v>
      </c>
      <c r="Q328" s="1">
        <f t="shared" si="47"/>
        <v>0.518072905040784</v>
      </c>
      <c r="S328" s="4">
        <f t="shared" si="40"/>
        <v>1.37921084902258</v>
      </c>
      <c r="T328" s="4">
        <f t="shared" si="41"/>
        <v>1.42580164056674</v>
      </c>
      <c r="U328" s="4">
        <f t="shared" si="42"/>
        <v>2.25020595504296</v>
      </c>
      <c r="V328" s="4">
        <f t="shared" si="43"/>
        <v>2.02071443669415</v>
      </c>
      <c r="W328" s="4">
        <f t="shared" si="44"/>
        <v>1.62529751785107</v>
      </c>
    </row>
    <row r="329" spans="1:23">
      <c r="A329" s="5" t="s">
        <v>346</v>
      </c>
      <c r="B329" s="5">
        <v>9506</v>
      </c>
      <c r="C329" s="5">
        <v>9506</v>
      </c>
      <c r="D329" s="5">
        <v>1358832</v>
      </c>
      <c r="E329" s="5">
        <v>22.599</v>
      </c>
      <c r="F329" s="5">
        <v>16.551</v>
      </c>
      <c r="G329" s="5">
        <v>16.135</v>
      </c>
      <c r="H329" s="5">
        <v>9.687</v>
      </c>
      <c r="I329" s="5">
        <v>10.985</v>
      </c>
      <c r="J329" s="5">
        <v>15.224</v>
      </c>
      <c r="K329" s="5">
        <v>1358832</v>
      </c>
      <c r="L329" s="5">
        <v>1360608</v>
      </c>
      <c r="M329" s="6">
        <f t="shared" si="45"/>
        <v>1.00130700483945</v>
      </c>
      <c r="N329" s="5">
        <v>1478876</v>
      </c>
      <c r="O329" s="6">
        <f t="shared" si="46"/>
        <v>1.08834351855123</v>
      </c>
      <c r="P329" s="5">
        <v>704396</v>
      </c>
      <c r="Q329" s="1">
        <f t="shared" si="47"/>
        <v>0.518383435185512</v>
      </c>
      <c r="S329" s="4">
        <f t="shared" si="40"/>
        <v>1.36541598694943</v>
      </c>
      <c r="T329" s="4">
        <f t="shared" si="41"/>
        <v>1.40061977068485</v>
      </c>
      <c r="U329" s="4">
        <f t="shared" si="42"/>
        <v>2.33292040879529</v>
      </c>
      <c r="V329" s="4">
        <f t="shared" si="43"/>
        <v>2.05725989986345</v>
      </c>
      <c r="W329" s="4">
        <f t="shared" si="44"/>
        <v>1.48443247503941</v>
      </c>
    </row>
    <row r="330" spans="1:23">
      <c r="A330" s="5" t="s">
        <v>347</v>
      </c>
      <c r="B330" s="5">
        <v>9506</v>
      </c>
      <c r="C330" s="5">
        <v>9506</v>
      </c>
      <c r="D330" s="5">
        <v>1506810</v>
      </c>
      <c r="E330" s="5">
        <v>30.635</v>
      </c>
      <c r="F330" s="5">
        <v>25</v>
      </c>
      <c r="G330" s="5">
        <v>17.3</v>
      </c>
      <c r="H330" s="5">
        <v>10.759</v>
      </c>
      <c r="I330" s="5">
        <v>11.601</v>
      </c>
      <c r="J330" s="5">
        <v>15.41</v>
      </c>
      <c r="K330" s="5">
        <v>1506810</v>
      </c>
      <c r="L330" s="5">
        <v>1509064</v>
      </c>
      <c r="M330" s="6">
        <f t="shared" si="45"/>
        <v>1.00149587539239</v>
      </c>
      <c r="N330" s="5">
        <v>1642956</v>
      </c>
      <c r="O330" s="6">
        <f t="shared" si="46"/>
        <v>1.09035379377626</v>
      </c>
      <c r="P330" s="5">
        <v>777846</v>
      </c>
      <c r="Q330" s="1">
        <f t="shared" si="47"/>
        <v>0.516220359567563</v>
      </c>
      <c r="S330" s="4">
        <f t="shared" si="40"/>
        <v>1.2254</v>
      </c>
      <c r="T330" s="4">
        <f t="shared" si="41"/>
        <v>1.77080924855491</v>
      </c>
      <c r="U330" s="4">
        <f t="shared" si="42"/>
        <v>2.84738358583511</v>
      </c>
      <c r="V330" s="4">
        <f t="shared" si="43"/>
        <v>2.64072062753211</v>
      </c>
      <c r="W330" s="4">
        <f t="shared" si="44"/>
        <v>1.98799480856587</v>
      </c>
    </row>
    <row r="331" spans="1:23">
      <c r="A331" s="5" t="s">
        <v>348</v>
      </c>
      <c r="B331" s="5">
        <v>9506</v>
      </c>
      <c r="C331" s="5">
        <v>9506</v>
      </c>
      <c r="D331" s="5">
        <v>1506550</v>
      </c>
      <c r="E331" s="5">
        <v>29.833</v>
      </c>
      <c r="F331" s="5">
        <v>23.838</v>
      </c>
      <c r="G331" s="5">
        <v>17.159</v>
      </c>
      <c r="H331" s="5">
        <v>11.248</v>
      </c>
      <c r="I331" s="5">
        <v>11.938</v>
      </c>
      <c r="J331" s="5">
        <v>15.52</v>
      </c>
      <c r="K331" s="5">
        <v>1506550</v>
      </c>
      <c r="L331" s="5">
        <v>1508932</v>
      </c>
      <c r="M331" s="6">
        <f t="shared" si="45"/>
        <v>1.00158109588132</v>
      </c>
      <c r="N331" s="5">
        <v>1665444</v>
      </c>
      <c r="O331" s="6">
        <f t="shared" si="46"/>
        <v>1.10546878629982</v>
      </c>
      <c r="P331" s="5">
        <v>784952</v>
      </c>
      <c r="Q331" s="1">
        <f t="shared" si="47"/>
        <v>0.521026185655969</v>
      </c>
      <c r="S331" s="4">
        <f t="shared" si="40"/>
        <v>1.2514892188942</v>
      </c>
      <c r="T331" s="4">
        <f t="shared" si="41"/>
        <v>1.73862113176759</v>
      </c>
      <c r="U331" s="4">
        <f t="shared" si="42"/>
        <v>2.65229374110953</v>
      </c>
      <c r="V331" s="4">
        <f t="shared" si="43"/>
        <v>2.49899480650025</v>
      </c>
      <c r="W331" s="4">
        <f t="shared" si="44"/>
        <v>1.9222293814433</v>
      </c>
    </row>
    <row r="332" spans="1:23">
      <c r="A332" s="5" t="s">
        <v>349</v>
      </c>
      <c r="B332" s="5">
        <v>9506</v>
      </c>
      <c r="C332" s="5">
        <v>9506</v>
      </c>
      <c r="D332" s="5">
        <v>1511758</v>
      </c>
      <c r="E332" s="5">
        <v>24.716</v>
      </c>
      <c r="F332" s="5">
        <v>17.78</v>
      </c>
      <c r="G332" s="5">
        <v>17.237</v>
      </c>
      <c r="H332" s="5">
        <v>11.102</v>
      </c>
      <c r="I332" s="5">
        <v>11.952</v>
      </c>
      <c r="J332" s="5">
        <v>14.949</v>
      </c>
      <c r="K332" s="5">
        <v>1511758</v>
      </c>
      <c r="L332" s="5">
        <v>1514012</v>
      </c>
      <c r="M332" s="6">
        <f t="shared" si="45"/>
        <v>1.00149097937633</v>
      </c>
      <c r="N332" s="5">
        <v>1667052</v>
      </c>
      <c r="O332" s="6">
        <f t="shared" si="46"/>
        <v>1.10272411325093</v>
      </c>
      <c r="P332" s="5">
        <v>786220</v>
      </c>
      <c r="Q332" s="1">
        <f t="shared" si="47"/>
        <v>0.520070011205497</v>
      </c>
      <c r="S332" s="4">
        <f t="shared" si="40"/>
        <v>1.39010123734533</v>
      </c>
      <c r="T332" s="4">
        <f t="shared" si="41"/>
        <v>1.43389220862099</v>
      </c>
      <c r="U332" s="4">
        <f t="shared" si="42"/>
        <v>2.22626553774095</v>
      </c>
      <c r="V332" s="4">
        <f t="shared" si="43"/>
        <v>2.06793842034806</v>
      </c>
      <c r="W332" s="4">
        <f t="shared" si="44"/>
        <v>1.65335473944745</v>
      </c>
    </row>
    <row r="333" spans="1:23">
      <c r="A333" s="5" t="s">
        <v>350</v>
      </c>
      <c r="B333" s="5">
        <v>9506</v>
      </c>
      <c r="C333" s="5">
        <v>9506</v>
      </c>
      <c r="D333" s="5">
        <v>1511760</v>
      </c>
      <c r="E333" s="5">
        <v>24.852</v>
      </c>
      <c r="F333" s="5">
        <v>17.912</v>
      </c>
      <c r="G333" s="5">
        <v>17.329</v>
      </c>
      <c r="H333" s="5">
        <v>11.018</v>
      </c>
      <c r="I333" s="5">
        <v>11.924</v>
      </c>
      <c r="J333" s="5">
        <v>14.968</v>
      </c>
      <c r="K333" s="5">
        <v>1511760</v>
      </c>
      <c r="L333" s="5">
        <v>1514016</v>
      </c>
      <c r="M333" s="6">
        <f t="shared" si="45"/>
        <v>1.00149230036514</v>
      </c>
      <c r="N333" s="5">
        <v>1667052</v>
      </c>
      <c r="O333" s="6">
        <f t="shared" si="46"/>
        <v>1.10272265438959</v>
      </c>
      <c r="P333" s="5">
        <v>786220</v>
      </c>
      <c r="Q333" s="1">
        <f t="shared" si="47"/>
        <v>0.52006932317299</v>
      </c>
      <c r="S333" s="4">
        <f t="shared" si="40"/>
        <v>1.38744975435462</v>
      </c>
      <c r="T333" s="4">
        <f t="shared" si="41"/>
        <v>1.43412776270991</v>
      </c>
      <c r="U333" s="4">
        <f t="shared" si="42"/>
        <v>2.25558177527682</v>
      </c>
      <c r="V333" s="4">
        <f t="shared" si="43"/>
        <v>2.08419993290842</v>
      </c>
      <c r="W333" s="4">
        <f t="shared" si="44"/>
        <v>1.66034206306788</v>
      </c>
    </row>
    <row r="334" spans="1:23">
      <c r="A334" s="5" t="s">
        <v>351</v>
      </c>
      <c r="B334" s="5">
        <v>3542400</v>
      </c>
      <c r="C334" s="5">
        <v>3542400</v>
      </c>
      <c r="D334" s="5">
        <v>96845792</v>
      </c>
      <c r="E334" s="5">
        <v>2413.27</v>
      </c>
      <c r="F334" s="5">
        <v>2263.95</v>
      </c>
      <c r="G334" s="5">
        <v>2249.05</v>
      </c>
      <c r="H334" s="5">
        <v>1512.68</v>
      </c>
      <c r="I334" s="5">
        <v>1338.29</v>
      </c>
      <c r="J334" s="5">
        <v>1353.78</v>
      </c>
      <c r="K334" s="5">
        <v>96845792</v>
      </c>
      <c r="L334" s="5">
        <v>96864872</v>
      </c>
      <c r="M334" s="6">
        <f t="shared" si="45"/>
        <v>1.00019701423888</v>
      </c>
      <c r="N334" s="5">
        <v>139607072</v>
      </c>
      <c r="O334" s="6">
        <f t="shared" si="46"/>
        <v>1.44153988642067</v>
      </c>
      <c r="P334" s="5">
        <v>50453288</v>
      </c>
      <c r="Q334" s="1">
        <f t="shared" si="47"/>
        <v>0.520965206211541</v>
      </c>
      <c r="S334" s="4">
        <f t="shared" si="40"/>
        <v>1.06595552021909</v>
      </c>
      <c r="T334" s="4">
        <f t="shared" si="41"/>
        <v>1.07301749627621</v>
      </c>
      <c r="U334" s="4">
        <f t="shared" si="42"/>
        <v>1.59536055213264</v>
      </c>
      <c r="V334" s="4">
        <f t="shared" si="43"/>
        <v>1.80324892213197</v>
      </c>
      <c r="W334" s="4">
        <f t="shared" si="44"/>
        <v>1.78261608237675</v>
      </c>
    </row>
    <row r="335" spans="1:23">
      <c r="A335" s="5" t="s">
        <v>352</v>
      </c>
      <c r="B335" s="5">
        <v>1062400</v>
      </c>
      <c r="C335" s="5">
        <v>1062400</v>
      </c>
      <c r="D335" s="5">
        <v>28704672</v>
      </c>
      <c r="E335" s="5">
        <v>670.372</v>
      </c>
      <c r="F335" s="5">
        <v>882.847</v>
      </c>
      <c r="G335" s="5">
        <v>854.052</v>
      </c>
      <c r="H335" s="5">
        <v>637.07</v>
      </c>
      <c r="I335" s="5">
        <v>371.536</v>
      </c>
      <c r="J335" s="5">
        <v>388.652</v>
      </c>
      <c r="K335" s="5">
        <v>28704672</v>
      </c>
      <c r="L335" s="5">
        <v>28712304</v>
      </c>
      <c r="M335" s="6">
        <f t="shared" si="45"/>
        <v>1.00026588006301</v>
      </c>
      <c r="N335" s="5">
        <v>41564192</v>
      </c>
      <c r="O335" s="6">
        <f t="shared" si="46"/>
        <v>1.44799397115564</v>
      </c>
      <c r="P335" s="5">
        <v>14998728</v>
      </c>
      <c r="Q335" s="1">
        <f t="shared" si="47"/>
        <v>0.522518703575502</v>
      </c>
      <c r="S335" s="4">
        <f t="shared" si="40"/>
        <v>0.759329759290115</v>
      </c>
      <c r="T335" s="4">
        <f t="shared" si="41"/>
        <v>0.784931128315372</v>
      </c>
      <c r="U335" s="4">
        <f t="shared" si="42"/>
        <v>1.05227369048927</v>
      </c>
      <c r="V335" s="4">
        <f t="shared" si="43"/>
        <v>1.80432582576116</v>
      </c>
      <c r="W335" s="4">
        <f t="shared" si="44"/>
        <v>1.72486440311641</v>
      </c>
    </row>
    <row r="336" spans="1:23">
      <c r="A336" s="5" t="s">
        <v>353</v>
      </c>
      <c r="B336" s="5">
        <v>40000</v>
      </c>
      <c r="C336" s="5">
        <v>40000</v>
      </c>
      <c r="D336" s="5">
        <v>197608</v>
      </c>
      <c r="E336" s="5">
        <v>3.692</v>
      </c>
      <c r="F336" s="5">
        <v>4.614</v>
      </c>
      <c r="G336" s="5">
        <v>2.643</v>
      </c>
      <c r="H336" s="5">
        <v>4.217</v>
      </c>
      <c r="I336" s="5">
        <v>3.866</v>
      </c>
      <c r="J336" s="5">
        <v>3.351</v>
      </c>
      <c r="K336" s="5">
        <v>197608</v>
      </c>
      <c r="L336" s="5">
        <v>197888</v>
      </c>
      <c r="M336" s="6">
        <f t="shared" si="45"/>
        <v>1.00141694668232</v>
      </c>
      <c r="N336" s="5">
        <v>475216</v>
      </c>
      <c r="O336" s="6">
        <f t="shared" si="46"/>
        <v>2.40484190923444</v>
      </c>
      <c r="P336" s="5">
        <v>119400</v>
      </c>
      <c r="Q336" s="1">
        <f t="shared" si="47"/>
        <v>0.604226549532408</v>
      </c>
      <c r="S336" s="4">
        <f t="shared" si="40"/>
        <v>0.800173385348938</v>
      </c>
      <c r="T336" s="4">
        <f t="shared" si="41"/>
        <v>1.39689746500189</v>
      </c>
      <c r="U336" s="4">
        <f t="shared" si="42"/>
        <v>0.875503912734171</v>
      </c>
      <c r="V336" s="4">
        <f t="shared" si="43"/>
        <v>0.954992240041386</v>
      </c>
      <c r="W336" s="4">
        <f t="shared" si="44"/>
        <v>1.10176066845718</v>
      </c>
    </row>
    <row r="337" spans="1:23">
      <c r="A337" s="5" t="s">
        <v>354</v>
      </c>
      <c r="B337" s="5">
        <v>259789</v>
      </c>
      <c r="C337" s="5">
        <v>259789</v>
      </c>
      <c r="D337" s="5">
        <v>4242673</v>
      </c>
      <c r="E337" s="5">
        <v>112.676</v>
      </c>
      <c r="F337" s="5">
        <v>123.369</v>
      </c>
      <c r="G337" s="5">
        <v>82.47</v>
      </c>
      <c r="H337" s="5">
        <v>164.2</v>
      </c>
      <c r="I337" s="5">
        <v>135.677</v>
      </c>
      <c r="J337" s="5">
        <v>87.176</v>
      </c>
      <c r="K337" s="5">
        <v>4242673</v>
      </c>
      <c r="L337" s="5">
        <v>4254928</v>
      </c>
      <c r="M337" s="6">
        <f t="shared" si="45"/>
        <v>1.00288850920163</v>
      </c>
      <c r="N337" s="5">
        <v>15095748</v>
      </c>
      <c r="O337" s="6">
        <f t="shared" si="46"/>
        <v>3.5580748268839</v>
      </c>
      <c r="P337" s="5">
        <v>4038864</v>
      </c>
      <c r="Q337" s="1">
        <f t="shared" si="47"/>
        <v>0.951962123878036</v>
      </c>
      <c r="S337" s="4">
        <f t="shared" si="40"/>
        <v>0.913325065454044</v>
      </c>
      <c r="T337" s="4">
        <f t="shared" si="41"/>
        <v>1.36626652115921</v>
      </c>
      <c r="U337" s="4">
        <f t="shared" si="42"/>
        <v>0.686211936662607</v>
      </c>
      <c r="V337" s="4">
        <f t="shared" si="43"/>
        <v>0.830472371883223</v>
      </c>
      <c r="W337" s="4">
        <f t="shared" si="44"/>
        <v>1.29251170046802</v>
      </c>
    </row>
    <row r="338" spans="1:23">
      <c r="A338" s="5" t="s">
        <v>355</v>
      </c>
      <c r="B338" s="5">
        <v>73752</v>
      </c>
      <c r="C338" s="5">
        <v>73752</v>
      </c>
      <c r="D338" s="5">
        <v>3597188</v>
      </c>
      <c r="E338" s="5">
        <v>60.499</v>
      </c>
      <c r="F338" s="5">
        <v>48.41</v>
      </c>
      <c r="G338" s="5">
        <v>58.631</v>
      </c>
      <c r="H338" s="5">
        <v>31.026</v>
      </c>
      <c r="I338" s="5">
        <v>39.223</v>
      </c>
      <c r="J338" s="5">
        <v>40.895</v>
      </c>
      <c r="K338" s="5">
        <v>3597188</v>
      </c>
      <c r="L338" s="5">
        <v>3604160</v>
      </c>
      <c r="M338" s="6">
        <f t="shared" si="45"/>
        <v>1.00193818060107</v>
      </c>
      <c r="N338" s="5">
        <v>4110904</v>
      </c>
      <c r="O338" s="6">
        <f t="shared" si="46"/>
        <v>1.14281043971013</v>
      </c>
      <c r="P338" s="5">
        <v>1871896</v>
      </c>
      <c r="Q338" s="1">
        <f t="shared" si="47"/>
        <v>0.520377583823809</v>
      </c>
      <c r="S338" s="4">
        <f t="shared" si="40"/>
        <v>1.24972113199752</v>
      </c>
      <c r="T338" s="4">
        <f t="shared" si="41"/>
        <v>1.03186027869216</v>
      </c>
      <c r="U338" s="4">
        <f t="shared" si="42"/>
        <v>1.94994520724554</v>
      </c>
      <c r="V338" s="4">
        <f t="shared" si="43"/>
        <v>1.54243683553017</v>
      </c>
      <c r="W338" s="4">
        <f t="shared" si="44"/>
        <v>1.47937400660227</v>
      </c>
    </row>
    <row r="339" spans="1:23">
      <c r="A339" s="5" t="s">
        <v>356</v>
      </c>
      <c r="B339" s="5">
        <v>16146</v>
      </c>
      <c r="C339" s="5">
        <v>16146</v>
      </c>
      <c r="D339" s="5">
        <v>1015156</v>
      </c>
      <c r="E339" s="5">
        <v>16.838</v>
      </c>
      <c r="F339" s="5">
        <v>13.418</v>
      </c>
      <c r="G339" s="5">
        <v>11.542</v>
      </c>
      <c r="H339" s="5">
        <v>8.417</v>
      </c>
      <c r="I339" s="5">
        <v>8.756</v>
      </c>
      <c r="J339" s="5">
        <v>10.856</v>
      </c>
      <c r="K339" s="5">
        <v>1015156</v>
      </c>
      <c r="L339" s="5">
        <v>1016700</v>
      </c>
      <c r="M339" s="6">
        <f t="shared" si="45"/>
        <v>1.00152094850447</v>
      </c>
      <c r="N339" s="5">
        <v>1235096</v>
      </c>
      <c r="O339" s="6">
        <f t="shared" si="46"/>
        <v>1.21665635626446</v>
      </c>
      <c r="P339" s="5">
        <v>532356</v>
      </c>
      <c r="Q339" s="1">
        <f t="shared" si="47"/>
        <v>0.524408071271805</v>
      </c>
      <c r="S339" s="4">
        <f t="shared" si="40"/>
        <v>1.25488150245938</v>
      </c>
      <c r="T339" s="4">
        <f t="shared" si="41"/>
        <v>1.45884595390747</v>
      </c>
      <c r="U339" s="4">
        <f t="shared" si="42"/>
        <v>2.00047522870381</v>
      </c>
      <c r="V339" s="4">
        <f t="shared" si="43"/>
        <v>1.92302421196894</v>
      </c>
      <c r="W339" s="4">
        <f t="shared" si="44"/>
        <v>1.55103168754606</v>
      </c>
    </row>
    <row r="340" spans="1:23">
      <c r="A340" s="5" t="s">
        <v>357</v>
      </c>
      <c r="B340" s="5">
        <v>88263</v>
      </c>
      <c r="C340" s="5">
        <v>88263</v>
      </c>
      <c r="D340" s="5">
        <v>744216</v>
      </c>
      <c r="E340" s="5">
        <v>14.45</v>
      </c>
      <c r="F340" s="5">
        <v>16.373</v>
      </c>
      <c r="G340" s="5">
        <v>10.42</v>
      </c>
      <c r="H340" s="5">
        <v>16.063</v>
      </c>
      <c r="I340" s="5">
        <v>16.088</v>
      </c>
      <c r="J340" s="5">
        <v>14.032</v>
      </c>
      <c r="K340" s="5">
        <v>744216</v>
      </c>
      <c r="L340" s="5">
        <v>745116</v>
      </c>
      <c r="M340" s="6">
        <f t="shared" si="45"/>
        <v>1.00120932632462</v>
      </c>
      <c r="N340" s="5">
        <v>1751504</v>
      </c>
      <c r="O340" s="6">
        <f t="shared" si="46"/>
        <v>2.35348877207692</v>
      </c>
      <c r="P340" s="5">
        <v>575942</v>
      </c>
      <c r="Q340" s="1">
        <f t="shared" si="47"/>
        <v>0.773890913390736</v>
      </c>
      <c r="S340" s="4">
        <f t="shared" si="40"/>
        <v>0.882550540524033</v>
      </c>
      <c r="T340" s="4">
        <f t="shared" si="41"/>
        <v>1.38675623800384</v>
      </c>
      <c r="U340" s="4">
        <f t="shared" si="42"/>
        <v>0.899582892361327</v>
      </c>
      <c r="V340" s="4">
        <f t="shared" si="43"/>
        <v>0.898184982595723</v>
      </c>
      <c r="W340" s="4">
        <f t="shared" si="44"/>
        <v>1.02978905359179</v>
      </c>
    </row>
    <row r="341" spans="1:23">
      <c r="A341" s="5" t="s">
        <v>358</v>
      </c>
      <c r="B341" s="5">
        <v>43887</v>
      </c>
      <c r="C341" s="5">
        <v>43887</v>
      </c>
      <c r="D341" s="5">
        <v>467711</v>
      </c>
      <c r="E341" s="5">
        <v>8.363</v>
      </c>
      <c r="F341" s="5">
        <v>8.434</v>
      </c>
      <c r="G341" s="5">
        <v>6.166</v>
      </c>
      <c r="H341" s="5">
        <v>6.789</v>
      </c>
      <c r="I341" s="5">
        <v>7.032</v>
      </c>
      <c r="J341" s="5">
        <v>7.723</v>
      </c>
      <c r="K341" s="5">
        <v>467711</v>
      </c>
      <c r="L341" s="5">
        <v>468248</v>
      </c>
      <c r="M341" s="6">
        <f t="shared" si="45"/>
        <v>1.00114814490145</v>
      </c>
      <c r="N341" s="5">
        <v>607252</v>
      </c>
      <c r="O341" s="6">
        <f t="shared" si="46"/>
        <v>1.29834876665291</v>
      </c>
      <c r="P341" s="5">
        <v>267684</v>
      </c>
      <c r="Q341" s="1">
        <f t="shared" si="47"/>
        <v>0.572327783609964</v>
      </c>
      <c r="S341" s="4">
        <f t="shared" si="40"/>
        <v>0.991581693146787</v>
      </c>
      <c r="T341" s="4">
        <f t="shared" si="41"/>
        <v>1.35630879013947</v>
      </c>
      <c r="U341" s="4">
        <f t="shared" si="42"/>
        <v>1.23184563264104</v>
      </c>
      <c r="V341" s="4">
        <f t="shared" si="43"/>
        <v>1.18927758816837</v>
      </c>
      <c r="W341" s="4">
        <f t="shared" si="44"/>
        <v>1.08286935128836</v>
      </c>
    </row>
    <row r="342" spans="1:23">
      <c r="A342" s="5" t="s">
        <v>359</v>
      </c>
      <c r="B342" s="5">
        <v>15435</v>
      </c>
      <c r="C342" s="5">
        <v>15435</v>
      </c>
      <c r="D342" s="5">
        <v>158273</v>
      </c>
      <c r="E342" s="5">
        <v>2.615</v>
      </c>
      <c r="F342" s="5">
        <v>2.657</v>
      </c>
      <c r="G342" s="5">
        <v>1.81</v>
      </c>
      <c r="H342" s="5">
        <v>2.268</v>
      </c>
      <c r="I342" s="5">
        <v>2.315</v>
      </c>
      <c r="J342" s="5">
        <v>2.344</v>
      </c>
      <c r="K342" s="5">
        <v>158273</v>
      </c>
      <c r="L342" s="5">
        <v>158568</v>
      </c>
      <c r="M342" s="6">
        <f t="shared" si="45"/>
        <v>1.00186386812659</v>
      </c>
      <c r="N342" s="5">
        <v>205164</v>
      </c>
      <c r="O342" s="6">
        <f t="shared" si="46"/>
        <v>1.29626657736948</v>
      </c>
      <c r="P342" s="5">
        <v>91018</v>
      </c>
      <c r="Q342" s="1">
        <f t="shared" si="47"/>
        <v>0.575069658122358</v>
      </c>
      <c r="S342" s="4">
        <f t="shared" si="40"/>
        <v>0.984192698532179</v>
      </c>
      <c r="T342" s="4">
        <f t="shared" si="41"/>
        <v>1.44475138121547</v>
      </c>
      <c r="U342" s="4">
        <f t="shared" si="42"/>
        <v>1.15299823633157</v>
      </c>
      <c r="V342" s="4">
        <f t="shared" si="43"/>
        <v>1.12958963282937</v>
      </c>
      <c r="W342" s="4">
        <f t="shared" si="44"/>
        <v>1.11561433447099</v>
      </c>
    </row>
    <row r="343" spans="1:23">
      <c r="A343" s="5" t="s">
        <v>360</v>
      </c>
      <c r="B343" s="5">
        <v>29902</v>
      </c>
      <c r="C343" s="5">
        <v>29902</v>
      </c>
      <c r="D343" s="5">
        <v>302418</v>
      </c>
      <c r="E343" s="5">
        <v>5.536</v>
      </c>
      <c r="F343" s="5">
        <v>5.625</v>
      </c>
      <c r="G343" s="5">
        <v>3.933</v>
      </c>
      <c r="H343" s="5">
        <v>4.428</v>
      </c>
      <c r="I343" s="5">
        <v>4.594</v>
      </c>
      <c r="J343" s="5">
        <v>4.75</v>
      </c>
      <c r="K343" s="5">
        <v>302418</v>
      </c>
      <c r="L343" s="5">
        <v>302720</v>
      </c>
      <c r="M343" s="6">
        <f t="shared" si="45"/>
        <v>1.00099861780714</v>
      </c>
      <c r="N343" s="5">
        <v>400264</v>
      </c>
      <c r="O343" s="6">
        <f t="shared" si="46"/>
        <v>1.32354555615076</v>
      </c>
      <c r="P343" s="5">
        <v>174778</v>
      </c>
      <c r="Q343" s="1">
        <f t="shared" si="47"/>
        <v>0.577935175816254</v>
      </c>
      <c r="S343" s="4">
        <f t="shared" si="40"/>
        <v>0.984177777777778</v>
      </c>
      <c r="T343" s="4">
        <f t="shared" si="41"/>
        <v>1.40757691329774</v>
      </c>
      <c r="U343" s="4">
        <f t="shared" si="42"/>
        <v>1.25022583559169</v>
      </c>
      <c r="V343" s="4">
        <f t="shared" si="43"/>
        <v>1.20505006530257</v>
      </c>
      <c r="W343" s="4">
        <f t="shared" si="44"/>
        <v>1.16547368421053</v>
      </c>
    </row>
    <row r="344" spans="1:23">
      <c r="A344" s="5" t="s">
        <v>361</v>
      </c>
      <c r="B344" s="5">
        <v>5620</v>
      </c>
      <c r="C344" s="5">
        <v>5620</v>
      </c>
      <c r="D344" s="5">
        <v>79650</v>
      </c>
      <c r="E344" s="5">
        <v>1.352</v>
      </c>
      <c r="F344" s="5">
        <v>1.387</v>
      </c>
      <c r="G344" s="5">
        <v>0.86</v>
      </c>
      <c r="H344" s="5">
        <v>2.182</v>
      </c>
      <c r="I344" s="5">
        <v>2.093</v>
      </c>
      <c r="J344" s="5">
        <v>1.365</v>
      </c>
      <c r="K344" s="5">
        <v>79650</v>
      </c>
      <c r="L344" s="5">
        <v>80220</v>
      </c>
      <c r="M344" s="6">
        <f t="shared" si="45"/>
        <v>1.00715630885122</v>
      </c>
      <c r="N344" s="5">
        <v>308876</v>
      </c>
      <c r="O344" s="6">
        <f t="shared" si="46"/>
        <v>3.87791588198368</v>
      </c>
      <c r="P344" s="5">
        <v>83758</v>
      </c>
      <c r="Q344" s="1">
        <f t="shared" si="47"/>
        <v>1.05157564344005</v>
      </c>
      <c r="S344" s="4">
        <f t="shared" si="40"/>
        <v>0.974765681326604</v>
      </c>
      <c r="T344" s="4">
        <f t="shared" si="41"/>
        <v>1.57209302325581</v>
      </c>
      <c r="U344" s="4">
        <f t="shared" si="42"/>
        <v>0.61961503208066</v>
      </c>
      <c r="V344" s="4">
        <f t="shared" si="43"/>
        <v>0.645962732919255</v>
      </c>
      <c r="W344" s="4">
        <f t="shared" si="44"/>
        <v>0.990476190476191</v>
      </c>
    </row>
    <row r="345" spans="1:23">
      <c r="A345" s="5" t="s">
        <v>362</v>
      </c>
      <c r="B345" s="5">
        <v>525825</v>
      </c>
      <c r="C345" s="5">
        <v>525825</v>
      </c>
      <c r="D345" s="5">
        <v>3674625</v>
      </c>
      <c r="E345" s="5">
        <v>96.364</v>
      </c>
      <c r="F345" s="5">
        <v>113.37</v>
      </c>
      <c r="G345" s="5">
        <v>83.529</v>
      </c>
      <c r="H345" s="5">
        <v>154.944</v>
      </c>
      <c r="I345" s="5">
        <v>108.75</v>
      </c>
      <c r="J345" s="5">
        <v>89.621</v>
      </c>
      <c r="K345" s="5">
        <v>3674625</v>
      </c>
      <c r="L345" s="5">
        <v>3674676</v>
      </c>
      <c r="M345" s="6">
        <f t="shared" si="45"/>
        <v>1.00001387896724</v>
      </c>
      <c r="N345" s="5">
        <v>10595732</v>
      </c>
      <c r="O345" s="6">
        <f t="shared" si="46"/>
        <v>2.88348661428037</v>
      </c>
      <c r="P345" s="5">
        <v>2849286</v>
      </c>
      <c r="Q345" s="1">
        <f t="shared" si="47"/>
        <v>0.775395040310236</v>
      </c>
      <c r="S345" s="4">
        <f t="shared" si="40"/>
        <v>0.849995589662168</v>
      </c>
      <c r="T345" s="4">
        <f t="shared" si="41"/>
        <v>1.1536592081792</v>
      </c>
      <c r="U345" s="4">
        <f t="shared" si="42"/>
        <v>0.621927922346138</v>
      </c>
      <c r="V345" s="4">
        <f t="shared" si="43"/>
        <v>0.886105747126437</v>
      </c>
      <c r="W345" s="4">
        <f t="shared" si="44"/>
        <v>1.07523906227335</v>
      </c>
    </row>
    <row r="346" spans="1:23">
      <c r="A346" s="5" t="s">
        <v>363</v>
      </c>
      <c r="B346" s="5">
        <v>36417</v>
      </c>
      <c r="C346" s="5">
        <v>36417</v>
      </c>
      <c r="D346" s="5">
        <v>4344765</v>
      </c>
      <c r="E346" s="5">
        <v>80.385</v>
      </c>
      <c r="F346" s="5">
        <v>64.174</v>
      </c>
      <c r="G346" s="5">
        <v>64.499</v>
      </c>
      <c r="H346" s="5">
        <v>38.293</v>
      </c>
      <c r="I346" s="5">
        <v>39.463</v>
      </c>
      <c r="J346" s="5">
        <v>44.465</v>
      </c>
      <c r="K346" s="5">
        <v>4344765</v>
      </c>
      <c r="L346" s="5">
        <v>4360656</v>
      </c>
      <c r="M346" s="6">
        <f t="shared" si="45"/>
        <v>1.00365750506644</v>
      </c>
      <c r="N346" s="5">
        <v>4860368</v>
      </c>
      <c r="O346" s="6">
        <f t="shared" si="46"/>
        <v>1.11867224119141</v>
      </c>
      <c r="P346" s="5">
        <v>2228640</v>
      </c>
      <c r="Q346" s="1">
        <f t="shared" si="47"/>
        <v>0.512948341279678</v>
      </c>
      <c r="S346" s="4">
        <f t="shared" si="40"/>
        <v>1.25261009131424</v>
      </c>
      <c r="T346" s="4">
        <f t="shared" si="41"/>
        <v>1.24629839222314</v>
      </c>
      <c r="U346" s="4">
        <f t="shared" si="42"/>
        <v>2.09920873266655</v>
      </c>
      <c r="V346" s="4">
        <f t="shared" si="43"/>
        <v>2.03697134024276</v>
      </c>
      <c r="W346" s="4">
        <f t="shared" si="44"/>
        <v>1.80782638029911</v>
      </c>
    </row>
    <row r="347" spans="1:23">
      <c r="A347" s="5" t="s">
        <v>364</v>
      </c>
      <c r="B347" s="5">
        <v>742793</v>
      </c>
      <c r="C347" s="5">
        <v>742793</v>
      </c>
      <c r="D347" s="5">
        <v>37138461</v>
      </c>
      <c r="E347" s="5">
        <v>941.154</v>
      </c>
      <c r="F347" s="5">
        <v>868.5</v>
      </c>
      <c r="G347" s="5">
        <v>572.739</v>
      </c>
      <c r="H347" s="5">
        <v>521.646</v>
      </c>
      <c r="I347" s="5">
        <v>408.36</v>
      </c>
      <c r="J347" s="5">
        <v>403.033</v>
      </c>
      <c r="K347" s="5">
        <v>37138461</v>
      </c>
      <c r="L347" s="5">
        <v>37258852</v>
      </c>
      <c r="M347" s="6">
        <f t="shared" si="45"/>
        <v>1.00324167983159</v>
      </c>
      <c r="N347" s="5">
        <v>51553156</v>
      </c>
      <c r="O347" s="6">
        <f t="shared" si="46"/>
        <v>1.38813388093815</v>
      </c>
      <c r="P347" s="5">
        <v>20529452</v>
      </c>
      <c r="Q347" s="1">
        <f t="shared" si="47"/>
        <v>0.552781441320361</v>
      </c>
      <c r="S347" s="4">
        <f t="shared" si="40"/>
        <v>1.08365457685665</v>
      </c>
      <c r="T347" s="4">
        <f t="shared" si="41"/>
        <v>1.64325111438194</v>
      </c>
      <c r="U347" s="4">
        <f t="shared" si="42"/>
        <v>1.80420054979814</v>
      </c>
      <c r="V347" s="4">
        <f t="shared" si="43"/>
        <v>2.30471642668234</v>
      </c>
      <c r="W347" s="4">
        <f t="shared" si="44"/>
        <v>2.33517850895584</v>
      </c>
    </row>
    <row r="348" spans="1:23">
      <c r="A348" s="5" t="s">
        <v>365</v>
      </c>
      <c r="B348" s="5">
        <v>14822</v>
      </c>
      <c r="C348" s="5">
        <v>14822</v>
      </c>
      <c r="D348" s="5">
        <v>715804</v>
      </c>
      <c r="E348" s="5">
        <v>11.931</v>
      </c>
      <c r="F348" s="5">
        <v>9.597</v>
      </c>
      <c r="G348" s="5">
        <v>8.747</v>
      </c>
      <c r="H348" s="5">
        <v>6.962</v>
      </c>
      <c r="I348" s="5">
        <v>8.917</v>
      </c>
      <c r="J348" s="5">
        <v>7.362</v>
      </c>
      <c r="K348" s="5">
        <v>715804</v>
      </c>
      <c r="L348" s="5">
        <v>716376</v>
      </c>
      <c r="M348" s="6">
        <f t="shared" si="45"/>
        <v>1.00079910143</v>
      </c>
      <c r="N348" s="5">
        <v>961680</v>
      </c>
      <c r="O348" s="6">
        <f t="shared" si="46"/>
        <v>1.34349626434052</v>
      </c>
      <c r="P348" s="5">
        <v>392788</v>
      </c>
      <c r="Q348" s="1">
        <f t="shared" si="47"/>
        <v>0.548736805047192</v>
      </c>
      <c r="S348" s="4">
        <f t="shared" si="40"/>
        <v>1.2432010003126</v>
      </c>
      <c r="T348" s="4">
        <f t="shared" si="41"/>
        <v>1.36401051789185</v>
      </c>
      <c r="U348" s="4">
        <f t="shared" si="42"/>
        <v>1.71373168629704</v>
      </c>
      <c r="V348" s="4">
        <f t="shared" si="43"/>
        <v>1.33800605584838</v>
      </c>
      <c r="W348" s="4">
        <f t="shared" si="44"/>
        <v>1.62061939690302</v>
      </c>
    </row>
    <row r="349" spans="1:23">
      <c r="A349" s="5" t="s">
        <v>366</v>
      </c>
      <c r="B349" s="5">
        <v>217918</v>
      </c>
      <c r="C349" s="5">
        <v>217918</v>
      </c>
      <c r="D349" s="5">
        <v>11634424</v>
      </c>
      <c r="E349" s="5">
        <v>223.062</v>
      </c>
      <c r="F349" s="5">
        <v>179.104</v>
      </c>
      <c r="G349" s="5">
        <v>178.69</v>
      </c>
      <c r="H349" s="5">
        <v>118.899</v>
      </c>
      <c r="I349" s="5">
        <v>131.594</v>
      </c>
      <c r="J349" s="5">
        <v>127.25</v>
      </c>
      <c r="K349" s="5">
        <v>11634424</v>
      </c>
      <c r="L349" s="5">
        <v>11640532</v>
      </c>
      <c r="M349" s="6">
        <f t="shared" si="45"/>
        <v>1.0005249937599</v>
      </c>
      <c r="N349" s="5">
        <v>12961088</v>
      </c>
      <c r="O349" s="6">
        <f t="shared" si="46"/>
        <v>1.1140291947414</v>
      </c>
      <c r="P349" s="5">
        <v>6040738</v>
      </c>
      <c r="Q349" s="1">
        <f t="shared" si="47"/>
        <v>0.519212468103277</v>
      </c>
      <c r="S349" s="4">
        <f t="shared" si="40"/>
        <v>1.24543282115419</v>
      </c>
      <c r="T349" s="4">
        <f t="shared" si="41"/>
        <v>1.24831831663775</v>
      </c>
      <c r="U349" s="4">
        <f t="shared" si="42"/>
        <v>1.87606287689552</v>
      </c>
      <c r="V349" s="4">
        <f t="shared" si="43"/>
        <v>1.69507728315881</v>
      </c>
      <c r="W349" s="4">
        <f t="shared" si="44"/>
        <v>1.75294302554028</v>
      </c>
    </row>
    <row r="350" spans="1:23">
      <c r="A350" s="5" t="s">
        <v>367</v>
      </c>
      <c r="B350" s="5">
        <v>66127</v>
      </c>
      <c r="C350" s="5">
        <v>66127</v>
      </c>
      <c r="D350" s="5">
        <v>1660579</v>
      </c>
      <c r="E350" s="5">
        <v>28.191</v>
      </c>
      <c r="F350" s="5">
        <v>26.028</v>
      </c>
      <c r="G350" s="5">
        <v>21.113</v>
      </c>
      <c r="H350" s="5">
        <v>18.477</v>
      </c>
      <c r="I350" s="5">
        <v>19.853</v>
      </c>
      <c r="J350" s="5">
        <v>19.561</v>
      </c>
      <c r="K350" s="5">
        <v>1660579</v>
      </c>
      <c r="L350" s="5">
        <v>1663504</v>
      </c>
      <c r="M350" s="6">
        <f t="shared" si="45"/>
        <v>1.00176143381315</v>
      </c>
      <c r="N350" s="5">
        <v>2276676</v>
      </c>
      <c r="O350" s="6">
        <f t="shared" si="46"/>
        <v>1.3710133634112</v>
      </c>
      <c r="P350" s="5">
        <v>875984</v>
      </c>
      <c r="Q350" s="1">
        <f t="shared" si="47"/>
        <v>0.527517209358904</v>
      </c>
      <c r="S350" s="4">
        <f t="shared" si="40"/>
        <v>1.08310281235592</v>
      </c>
      <c r="T350" s="4">
        <f t="shared" si="41"/>
        <v>1.33524368872259</v>
      </c>
      <c r="U350" s="4">
        <f t="shared" si="42"/>
        <v>1.5257346971911</v>
      </c>
      <c r="V350" s="4">
        <f t="shared" si="43"/>
        <v>1.41998690374251</v>
      </c>
      <c r="W350" s="4">
        <f t="shared" si="44"/>
        <v>1.44118398854864</v>
      </c>
    </row>
    <row r="351" spans="1:23">
      <c r="A351" s="5" t="s">
        <v>368</v>
      </c>
      <c r="B351" s="5">
        <v>66127</v>
      </c>
      <c r="C351" s="5">
        <v>66127</v>
      </c>
      <c r="D351" s="5">
        <v>1660579</v>
      </c>
      <c r="E351" s="5">
        <v>26.694</v>
      </c>
      <c r="F351" s="5">
        <v>25.589</v>
      </c>
      <c r="G351" s="5">
        <v>20.445</v>
      </c>
      <c r="H351" s="5">
        <v>18.003</v>
      </c>
      <c r="I351" s="5">
        <v>19.707</v>
      </c>
      <c r="J351" s="5">
        <v>19.779</v>
      </c>
      <c r="K351" s="5">
        <v>1660579</v>
      </c>
      <c r="L351" s="5">
        <v>1663504</v>
      </c>
      <c r="M351" s="6">
        <f t="shared" si="45"/>
        <v>1.00176143381315</v>
      </c>
      <c r="N351" s="5">
        <v>2276676</v>
      </c>
      <c r="O351" s="6">
        <f t="shared" si="46"/>
        <v>1.3710133634112</v>
      </c>
      <c r="P351" s="5">
        <v>875984</v>
      </c>
      <c r="Q351" s="1">
        <f t="shared" si="47"/>
        <v>0.527517209358904</v>
      </c>
      <c r="S351" s="4">
        <f t="shared" si="40"/>
        <v>1.04318261753097</v>
      </c>
      <c r="T351" s="4">
        <f t="shared" si="41"/>
        <v>1.30564930300807</v>
      </c>
      <c r="U351" s="4">
        <f t="shared" si="42"/>
        <v>1.48275287452091</v>
      </c>
      <c r="V351" s="4">
        <f t="shared" si="43"/>
        <v>1.3545440706348</v>
      </c>
      <c r="W351" s="4">
        <f t="shared" si="44"/>
        <v>1.34961322614895</v>
      </c>
    </row>
    <row r="352" spans="1:23">
      <c r="A352" s="5" t="s">
        <v>369</v>
      </c>
      <c r="B352" s="5">
        <v>20000</v>
      </c>
      <c r="C352" s="5">
        <v>20000</v>
      </c>
      <c r="D352" s="5">
        <v>45000</v>
      </c>
      <c r="E352" s="5">
        <v>2.615</v>
      </c>
      <c r="F352" s="5">
        <v>2.631</v>
      </c>
      <c r="G352" s="5">
        <v>1.715</v>
      </c>
      <c r="H352" s="5">
        <v>3.13</v>
      </c>
      <c r="I352" s="5">
        <v>1.455</v>
      </c>
      <c r="J352" s="5">
        <v>1.243</v>
      </c>
      <c r="K352" s="5">
        <v>45000</v>
      </c>
      <c r="L352" s="5">
        <v>45000</v>
      </c>
      <c r="M352" s="6">
        <f t="shared" si="45"/>
        <v>1</v>
      </c>
      <c r="N352" s="5">
        <v>180000</v>
      </c>
      <c r="O352" s="6">
        <f t="shared" si="46"/>
        <v>4</v>
      </c>
      <c r="P352" s="5">
        <v>35000</v>
      </c>
      <c r="Q352" s="1">
        <f t="shared" si="47"/>
        <v>0.777777777777778</v>
      </c>
      <c r="S352" s="4">
        <f t="shared" si="40"/>
        <v>0.993918662105663</v>
      </c>
      <c r="T352" s="4">
        <f t="shared" si="41"/>
        <v>1.52478134110787</v>
      </c>
      <c r="U352" s="4">
        <f t="shared" si="42"/>
        <v>0.835463258785943</v>
      </c>
      <c r="V352" s="4">
        <f t="shared" si="43"/>
        <v>1.79725085910653</v>
      </c>
      <c r="W352" s="4">
        <f t="shared" si="44"/>
        <v>2.10378117457763</v>
      </c>
    </row>
    <row r="353" spans="1:23">
      <c r="A353" s="5" t="s">
        <v>370</v>
      </c>
      <c r="B353" s="5">
        <v>4147110</v>
      </c>
      <c r="C353" s="5">
        <v>4147110</v>
      </c>
      <c r="D353" s="5">
        <v>329499284</v>
      </c>
      <c r="E353" s="5">
        <v>6958.78</v>
      </c>
      <c r="F353" s="5">
        <v>6125.44</v>
      </c>
      <c r="G353" s="5">
        <v>5679.51</v>
      </c>
      <c r="H353" s="5">
        <v>4421.82</v>
      </c>
      <c r="I353" s="5">
        <v>3330.73</v>
      </c>
      <c r="J353" s="5">
        <v>3718.83</v>
      </c>
      <c r="K353" s="5">
        <v>329499284</v>
      </c>
      <c r="L353" s="5">
        <v>329794036</v>
      </c>
      <c r="M353" s="6">
        <f t="shared" si="45"/>
        <v>1.00089454519118</v>
      </c>
      <c r="N353" s="5">
        <v>439073704</v>
      </c>
      <c r="O353" s="6">
        <f t="shared" si="46"/>
        <v>1.33254827952828</v>
      </c>
      <c r="P353" s="5">
        <v>169898542</v>
      </c>
      <c r="Q353" s="1">
        <f t="shared" si="47"/>
        <v>0.515626437597965</v>
      </c>
      <c r="S353" s="4">
        <f t="shared" si="40"/>
        <v>1.13604573712256</v>
      </c>
      <c r="T353" s="4">
        <f t="shared" si="41"/>
        <v>1.22524302272555</v>
      </c>
      <c r="U353" s="4">
        <f t="shared" si="42"/>
        <v>1.57373660619383</v>
      </c>
      <c r="V353" s="4">
        <f t="shared" si="43"/>
        <v>2.08926571652461</v>
      </c>
      <c r="W353" s="4">
        <f t="shared" si="44"/>
        <v>1.87122831643286</v>
      </c>
    </row>
    <row r="354" spans="1:23">
      <c r="A354" s="5" t="s">
        <v>371</v>
      </c>
      <c r="B354" s="5">
        <v>19779</v>
      </c>
      <c r="C354" s="5">
        <v>19779</v>
      </c>
      <c r="D354" s="5">
        <v>1328611</v>
      </c>
      <c r="E354" s="5">
        <v>22.014</v>
      </c>
      <c r="F354" s="5">
        <v>16.842</v>
      </c>
      <c r="G354" s="5">
        <v>15.664</v>
      </c>
      <c r="H354" s="5">
        <v>12.072</v>
      </c>
      <c r="I354" s="5">
        <v>11.546</v>
      </c>
      <c r="J354" s="5">
        <v>13.852</v>
      </c>
      <c r="K354" s="5">
        <v>1328611</v>
      </c>
      <c r="L354" s="5">
        <v>1331672</v>
      </c>
      <c r="M354" s="6">
        <f t="shared" si="45"/>
        <v>1.00230390987279</v>
      </c>
      <c r="N354" s="5">
        <v>1731984</v>
      </c>
      <c r="O354" s="6">
        <f t="shared" si="46"/>
        <v>1.30360504316162</v>
      </c>
      <c r="P354" s="5">
        <v>685954</v>
      </c>
      <c r="Q354" s="1">
        <f t="shared" si="47"/>
        <v>0.51629408457404</v>
      </c>
      <c r="S354" s="4">
        <f t="shared" si="40"/>
        <v>1.30708941930887</v>
      </c>
      <c r="T354" s="4">
        <f t="shared" si="41"/>
        <v>1.40538815117467</v>
      </c>
      <c r="U354" s="4">
        <f t="shared" si="42"/>
        <v>1.82355864811133</v>
      </c>
      <c r="V354" s="4">
        <f t="shared" si="43"/>
        <v>1.90663433223627</v>
      </c>
      <c r="W354" s="4">
        <f t="shared" si="44"/>
        <v>1.58922899220329</v>
      </c>
    </row>
    <row r="355" spans="1:23">
      <c r="A355" s="5" t="s">
        <v>372</v>
      </c>
      <c r="B355" s="5">
        <v>20209</v>
      </c>
      <c r="C355" s="5">
        <v>20209</v>
      </c>
      <c r="D355" s="5">
        <v>139233</v>
      </c>
      <c r="E355" s="5">
        <v>2.644</v>
      </c>
      <c r="F355" s="5">
        <v>3.023</v>
      </c>
      <c r="G355" s="5">
        <v>1.699</v>
      </c>
      <c r="H355" s="5">
        <v>3.309</v>
      </c>
      <c r="I355" s="5">
        <v>3.336</v>
      </c>
      <c r="J355" s="5">
        <v>2.585</v>
      </c>
      <c r="K355" s="5">
        <v>139233</v>
      </c>
      <c r="L355" s="5">
        <v>139500</v>
      </c>
      <c r="M355" s="6">
        <f t="shared" si="45"/>
        <v>1.00191764883325</v>
      </c>
      <c r="N355" s="5">
        <v>375496</v>
      </c>
      <c r="O355" s="6">
        <f t="shared" si="46"/>
        <v>2.69688938685513</v>
      </c>
      <c r="P355" s="5">
        <v>109928</v>
      </c>
      <c r="Q355" s="1">
        <f t="shared" si="47"/>
        <v>0.789525471691338</v>
      </c>
      <c r="S355" s="4">
        <f t="shared" si="40"/>
        <v>0.874627853126034</v>
      </c>
      <c r="T355" s="4">
        <f t="shared" si="41"/>
        <v>1.5562095350206</v>
      </c>
      <c r="U355" s="4">
        <f t="shared" si="42"/>
        <v>0.799032940465397</v>
      </c>
      <c r="V355" s="4">
        <f t="shared" si="43"/>
        <v>0.792565947242206</v>
      </c>
      <c r="W355" s="4">
        <f t="shared" si="44"/>
        <v>1.02282398452611</v>
      </c>
    </row>
    <row r="356" spans="1:23">
      <c r="A356" s="5" t="s">
        <v>373</v>
      </c>
      <c r="B356" s="5">
        <v>5177</v>
      </c>
      <c r="C356" s="5">
        <v>5177</v>
      </c>
      <c r="D356" s="5">
        <v>35185</v>
      </c>
      <c r="E356" s="5">
        <v>0.626</v>
      </c>
      <c r="F356" s="5">
        <v>0.71</v>
      </c>
      <c r="G356" s="5">
        <v>0.372</v>
      </c>
      <c r="H356" s="5">
        <v>0.823</v>
      </c>
      <c r="I356" s="5">
        <v>0.889</v>
      </c>
      <c r="J356" s="5">
        <v>0.659</v>
      </c>
      <c r="K356" s="5">
        <v>35185</v>
      </c>
      <c r="L356" s="5">
        <v>35252</v>
      </c>
      <c r="M356" s="6">
        <f t="shared" si="45"/>
        <v>1.00190422054853</v>
      </c>
      <c r="N356" s="5">
        <v>94252</v>
      </c>
      <c r="O356" s="6">
        <f t="shared" si="46"/>
        <v>2.6787551513429</v>
      </c>
      <c r="P356" s="5">
        <v>27838</v>
      </c>
      <c r="Q356" s="1">
        <f t="shared" si="47"/>
        <v>0.791189427312775</v>
      </c>
      <c r="S356" s="4">
        <f t="shared" si="40"/>
        <v>0.88169014084507</v>
      </c>
      <c r="T356" s="4">
        <f t="shared" si="41"/>
        <v>1.68279569892473</v>
      </c>
      <c r="U356" s="4">
        <f t="shared" si="42"/>
        <v>0.760631834750911</v>
      </c>
      <c r="V356" s="4">
        <f t="shared" si="43"/>
        <v>0.704161979752531</v>
      </c>
      <c r="W356" s="4">
        <f t="shared" si="44"/>
        <v>0.949924127465857</v>
      </c>
    </row>
    <row r="357" spans="1:23">
      <c r="A357" s="5" t="s">
        <v>374</v>
      </c>
      <c r="B357" s="5">
        <v>79841</v>
      </c>
      <c r="C357" s="5">
        <v>79841</v>
      </c>
      <c r="D357" s="5">
        <v>553921</v>
      </c>
      <c r="E357" s="5">
        <v>11.132</v>
      </c>
      <c r="F357" s="5">
        <v>12.65</v>
      </c>
      <c r="G357" s="5">
        <v>8.022</v>
      </c>
      <c r="H357" s="5">
        <v>14.067</v>
      </c>
      <c r="I357" s="5">
        <v>13.274</v>
      </c>
      <c r="J357" s="5">
        <v>10.821</v>
      </c>
      <c r="K357" s="5">
        <v>553921</v>
      </c>
      <c r="L357" s="5">
        <v>554876</v>
      </c>
      <c r="M357" s="6">
        <f t="shared" si="45"/>
        <v>1.0017240725663</v>
      </c>
      <c r="N357" s="5">
        <v>1497996</v>
      </c>
      <c r="O357" s="6">
        <f t="shared" si="46"/>
        <v>2.70434953720837</v>
      </c>
      <c r="P357" s="5">
        <v>437596</v>
      </c>
      <c r="Q357" s="1">
        <f t="shared" si="47"/>
        <v>0.789997129554575</v>
      </c>
      <c r="S357" s="4">
        <f t="shared" si="40"/>
        <v>0.88</v>
      </c>
      <c r="T357" s="4">
        <f t="shared" si="41"/>
        <v>1.38768386935926</v>
      </c>
      <c r="U357" s="4">
        <f t="shared" si="42"/>
        <v>0.791355655079264</v>
      </c>
      <c r="V357" s="4">
        <f t="shared" si="43"/>
        <v>0.838631912008438</v>
      </c>
      <c r="W357" s="4">
        <f t="shared" si="44"/>
        <v>1.02874041216154</v>
      </c>
    </row>
    <row r="358" spans="1:23">
      <c r="A358" s="5" t="s">
        <v>375</v>
      </c>
      <c r="B358" s="5">
        <v>3006</v>
      </c>
      <c r="C358" s="5">
        <v>3006</v>
      </c>
      <c r="D358" s="5">
        <v>37342</v>
      </c>
      <c r="E358" s="5">
        <v>0.555</v>
      </c>
      <c r="F358" s="5">
        <v>0.548</v>
      </c>
      <c r="G358" s="5">
        <v>0.458</v>
      </c>
      <c r="H358" s="5">
        <v>0.686</v>
      </c>
      <c r="I358" s="5">
        <v>0.488</v>
      </c>
      <c r="J358" s="5">
        <v>0.546</v>
      </c>
      <c r="K358" s="5">
        <v>37342</v>
      </c>
      <c r="L358" s="5">
        <v>45876</v>
      </c>
      <c r="M358" s="6">
        <f t="shared" si="45"/>
        <v>1.22853623266028</v>
      </c>
      <c r="N358" s="5">
        <v>99520</v>
      </c>
      <c r="O358" s="6">
        <f t="shared" si="46"/>
        <v>2.66509560280649</v>
      </c>
      <c r="P358" s="5">
        <v>20994</v>
      </c>
      <c r="Q358" s="1">
        <f t="shared" si="47"/>
        <v>0.562208772963419</v>
      </c>
      <c r="S358" s="4">
        <f t="shared" si="40"/>
        <v>1.01277372262774</v>
      </c>
      <c r="T358" s="4">
        <f t="shared" si="41"/>
        <v>1.2117903930131</v>
      </c>
      <c r="U358" s="4">
        <f t="shared" si="42"/>
        <v>0.809037900874636</v>
      </c>
      <c r="V358" s="4">
        <f t="shared" si="43"/>
        <v>1.13729508196721</v>
      </c>
      <c r="W358" s="4">
        <f t="shared" si="44"/>
        <v>1.01648351648352</v>
      </c>
    </row>
    <row r="359" spans="1:23">
      <c r="A359" s="5" t="s">
        <v>376</v>
      </c>
      <c r="B359" s="5">
        <v>3057</v>
      </c>
      <c r="C359" s="5">
        <v>3057</v>
      </c>
      <c r="D359" s="5">
        <v>37150</v>
      </c>
      <c r="E359" s="5">
        <v>0.551</v>
      </c>
      <c r="F359" s="5">
        <v>0.549</v>
      </c>
      <c r="G359" s="5">
        <v>0.447</v>
      </c>
      <c r="H359" s="5">
        <v>0.698</v>
      </c>
      <c r="I359" s="5">
        <v>0.477</v>
      </c>
      <c r="J359" s="5">
        <v>0.531</v>
      </c>
      <c r="K359" s="5">
        <v>37150</v>
      </c>
      <c r="L359" s="5">
        <v>45848</v>
      </c>
      <c r="M359" s="6">
        <f t="shared" si="45"/>
        <v>1.23413189771198</v>
      </c>
      <c r="N359" s="5">
        <v>100172</v>
      </c>
      <c r="O359" s="6">
        <f t="shared" si="46"/>
        <v>2.6964199192463</v>
      </c>
      <c r="P359" s="5">
        <v>20986</v>
      </c>
      <c r="Q359" s="1">
        <f t="shared" si="47"/>
        <v>0.564899057873486</v>
      </c>
      <c r="S359" s="4">
        <f t="shared" si="40"/>
        <v>1.00364298724954</v>
      </c>
      <c r="T359" s="4">
        <f t="shared" si="41"/>
        <v>1.23266219239374</v>
      </c>
      <c r="U359" s="4">
        <f t="shared" si="42"/>
        <v>0.789398280802292</v>
      </c>
      <c r="V359" s="4">
        <f t="shared" si="43"/>
        <v>1.15513626834382</v>
      </c>
      <c r="W359" s="4">
        <f t="shared" si="44"/>
        <v>1.0376647834275</v>
      </c>
    </row>
    <row r="360" spans="1:23">
      <c r="A360" s="5" t="s">
        <v>377</v>
      </c>
      <c r="B360" s="5">
        <v>3108</v>
      </c>
      <c r="C360" s="5">
        <v>3108</v>
      </c>
      <c r="D360" s="5">
        <v>37894</v>
      </c>
      <c r="E360" s="5">
        <v>0.563</v>
      </c>
      <c r="F360" s="5">
        <v>0.561</v>
      </c>
      <c r="G360" s="5">
        <v>0.478</v>
      </c>
      <c r="H360" s="5">
        <v>0.688</v>
      </c>
      <c r="I360" s="5">
        <v>0.5</v>
      </c>
      <c r="J360" s="5">
        <v>0.544</v>
      </c>
      <c r="K360" s="5">
        <v>37894</v>
      </c>
      <c r="L360" s="5">
        <v>46720</v>
      </c>
      <c r="M360" s="6">
        <f t="shared" si="45"/>
        <v>1.23291286219454</v>
      </c>
      <c r="N360" s="5">
        <v>102020</v>
      </c>
      <c r="O360" s="6">
        <f t="shared" si="46"/>
        <v>2.69224679368765</v>
      </c>
      <c r="P360" s="5">
        <v>21366</v>
      </c>
      <c r="Q360" s="1">
        <f t="shared" si="47"/>
        <v>0.563835963477068</v>
      </c>
      <c r="S360" s="4">
        <f t="shared" si="40"/>
        <v>1.00356506238859</v>
      </c>
      <c r="T360" s="4">
        <f t="shared" si="41"/>
        <v>1.17782426778243</v>
      </c>
      <c r="U360" s="4">
        <f t="shared" si="42"/>
        <v>0.818313953488372</v>
      </c>
      <c r="V360" s="4">
        <f t="shared" si="43"/>
        <v>1.126</v>
      </c>
      <c r="W360" s="4">
        <f t="shared" si="44"/>
        <v>1.03492647058824</v>
      </c>
    </row>
    <row r="361" spans="1:23">
      <c r="A361" s="5" t="s">
        <v>378</v>
      </c>
      <c r="B361" s="5">
        <v>5489</v>
      </c>
      <c r="C361" s="5">
        <v>5489</v>
      </c>
      <c r="D361" s="5">
        <v>281111</v>
      </c>
      <c r="E361" s="5">
        <v>4.431</v>
      </c>
      <c r="F361" s="5">
        <v>3.486</v>
      </c>
      <c r="G361" s="5">
        <v>3.147</v>
      </c>
      <c r="H361" s="5">
        <v>2.048</v>
      </c>
      <c r="I361" s="5">
        <v>2.455</v>
      </c>
      <c r="J361" s="5">
        <v>3.244</v>
      </c>
      <c r="K361" s="5">
        <v>281111</v>
      </c>
      <c r="L361" s="5">
        <v>281652</v>
      </c>
      <c r="M361" s="6">
        <f t="shared" si="45"/>
        <v>1.00192450668953</v>
      </c>
      <c r="N361" s="5">
        <v>313184</v>
      </c>
      <c r="O361" s="6">
        <f t="shared" si="46"/>
        <v>1.11409372098566</v>
      </c>
      <c r="P361" s="5">
        <v>146116</v>
      </c>
      <c r="Q361" s="1">
        <f t="shared" si="47"/>
        <v>0.519780442600965</v>
      </c>
      <c r="S361" s="4">
        <f t="shared" si="40"/>
        <v>1.2710843373494</v>
      </c>
      <c r="T361" s="4">
        <f t="shared" si="41"/>
        <v>1.40800762631077</v>
      </c>
      <c r="U361" s="4">
        <f t="shared" si="42"/>
        <v>2.16357421875</v>
      </c>
      <c r="V361" s="4">
        <f t="shared" si="43"/>
        <v>1.80488798370672</v>
      </c>
      <c r="W361" s="4">
        <f t="shared" si="44"/>
        <v>1.36590628853268</v>
      </c>
    </row>
    <row r="362" spans="1:23">
      <c r="A362" s="5" t="s">
        <v>379</v>
      </c>
      <c r="B362" s="5">
        <v>5489</v>
      </c>
      <c r="C362" s="5">
        <v>5489</v>
      </c>
      <c r="D362" s="5">
        <v>219521</v>
      </c>
      <c r="E362" s="5">
        <v>3.404</v>
      </c>
      <c r="F362" s="5">
        <v>2.82</v>
      </c>
      <c r="G362" s="5">
        <v>2.34</v>
      </c>
      <c r="H362" s="5">
        <v>1.609</v>
      </c>
      <c r="I362" s="5">
        <v>1.982</v>
      </c>
      <c r="J362" s="5">
        <v>2.479</v>
      </c>
      <c r="K362" s="5">
        <v>219521</v>
      </c>
      <c r="L362" s="5">
        <v>219956</v>
      </c>
      <c r="M362" s="6">
        <f t="shared" si="45"/>
        <v>1.001981587183</v>
      </c>
      <c r="N362" s="5">
        <v>232488</v>
      </c>
      <c r="O362" s="6">
        <f t="shared" si="46"/>
        <v>1.05906951954483</v>
      </c>
      <c r="P362" s="5">
        <v>115262</v>
      </c>
      <c r="Q362" s="1">
        <f t="shared" si="47"/>
        <v>0.525061383648945</v>
      </c>
      <c r="S362" s="4">
        <f t="shared" si="40"/>
        <v>1.20709219858156</v>
      </c>
      <c r="T362" s="4">
        <f t="shared" si="41"/>
        <v>1.45470085470085</v>
      </c>
      <c r="U362" s="4">
        <f t="shared" si="42"/>
        <v>2.11559975139838</v>
      </c>
      <c r="V362" s="4">
        <f t="shared" si="43"/>
        <v>1.71745711402624</v>
      </c>
      <c r="W362" s="4">
        <f t="shared" si="44"/>
        <v>1.37313432835821</v>
      </c>
    </row>
    <row r="363" spans="1:23">
      <c r="A363" s="5" t="s">
        <v>380</v>
      </c>
      <c r="B363" s="5">
        <v>5489</v>
      </c>
      <c r="C363" s="5">
        <v>5489</v>
      </c>
      <c r="D363" s="5">
        <v>281111</v>
      </c>
      <c r="E363" s="5">
        <v>4.499</v>
      </c>
      <c r="F363" s="5">
        <v>3.454</v>
      </c>
      <c r="G363" s="5">
        <v>3.24</v>
      </c>
      <c r="H363" s="5">
        <v>2.072</v>
      </c>
      <c r="I363" s="5">
        <v>2.394</v>
      </c>
      <c r="J363" s="5">
        <v>3.242</v>
      </c>
      <c r="K363" s="5">
        <v>281111</v>
      </c>
      <c r="L363" s="5">
        <v>281652</v>
      </c>
      <c r="M363" s="6">
        <f t="shared" si="45"/>
        <v>1.00192450668953</v>
      </c>
      <c r="N363" s="5">
        <v>313184</v>
      </c>
      <c r="O363" s="6">
        <f t="shared" si="46"/>
        <v>1.11409372098566</v>
      </c>
      <c r="P363" s="5">
        <v>146116</v>
      </c>
      <c r="Q363" s="1">
        <f t="shared" si="47"/>
        <v>0.519780442600965</v>
      </c>
      <c r="S363" s="4">
        <f t="shared" si="40"/>
        <v>1.30254777070064</v>
      </c>
      <c r="T363" s="4">
        <f t="shared" si="41"/>
        <v>1.38858024691358</v>
      </c>
      <c r="U363" s="4">
        <f t="shared" si="42"/>
        <v>2.17133204633205</v>
      </c>
      <c r="V363" s="4">
        <f t="shared" si="43"/>
        <v>1.87928153717627</v>
      </c>
      <c r="W363" s="4">
        <f t="shared" si="44"/>
        <v>1.3877236273905</v>
      </c>
    </row>
    <row r="364" spans="1:23">
      <c r="A364" s="5" t="s">
        <v>381</v>
      </c>
      <c r="B364" s="5">
        <v>5489</v>
      </c>
      <c r="C364" s="5">
        <v>5489</v>
      </c>
      <c r="D364" s="5">
        <v>219521</v>
      </c>
      <c r="E364" s="5">
        <v>3.421</v>
      </c>
      <c r="F364" s="5">
        <v>2.825</v>
      </c>
      <c r="G364" s="5">
        <v>2.361</v>
      </c>
      <c r="H364" s="5">
        <v>1.6</v>
      </c>
      <c r="I364" s="5">
        <v>2.001</v>
      </c>
      <c r="J364" s="5">
        <v>2.463</v>
      </c>
      <c r="K364" s="5">
        <v>219521</v>
      </c>
      <c r="L364" s="5">
        <v>219956</v>
      </c>
      <c r="M364" s="6">
        <f t="shared" si="45"/>
        <v>1.001981587183</v>
      </c>
      <c r="N364" s="5">
        <v>232488</v>
      </c>
      <c r="O364" s="6">
        <f t="shared" si="46"/>
        <v>1.05906951954483</v>
      </c>
      <c r="P364" s="5">
        <v>115262</v>
      </c>
      <c r="Q364" s="1">
        <f t="shared" si="47"/>
        <v>0.525061383648945</v>
      </c>
      <c r="S364" s="4">
        <f t="shared" si="40"/>
        <v>1.21097345132743</v>
      </c>
      <c r="T364" s="4">
        <f t="shared" si="41"/>
        <v>1.44896230410843</v>
      </c>
      <c r="U364" s="4">
        <f t="shared" si="42"/>
        <v>2.138125</v>
      </c>
      <c r="V364" s="4">
        <f t="shared" si="43"/>
        <v>1.70964517741129</v>
      </c>
      <c r="W364" s="4">
        <f t="shared" si="44"/>
        <v>1.38895655704425</v>
      </c>
    </row>
    <row r="365" spans="1:23">
      <c r="A365" s="5" t="s">
        <v>382</v>
      </c>
      <c r="B365" s="5">
        <v>90449</v>
      </c>
      <c r="C365" s="5">
        <v>90449</v>
      </c>
      <c r="D365" s="5">
        <v>4820891</v>
      </c>
      <c r="E365" s="5">
        <v>91.481</v>
      </c>
      <c r="F365" s="5">
        <v>77.968</v>
      </c>
      <c r="G365" s="5">
        <v>72.332</v>
      </c>
      <c r="H365" s="5">
        <v>39.832</v>
      </c>
      <c r="I365" s="5">
        <v>45.724</v>
      </c>
      <c r="J365" s="5">
        <v>52.695</v>
      </c>
      <c r="K365" s="5">
        <v>4820891</v>
      </c>
      <c r="L365" s="5">
        <v>4830308</v>
      </c>
      <c r="M365" s="6">
        <f t="shared" si="45"/>
        <v>1.00195337334945</v>
      </c>
      <c r="N365" s="5">
        <v>5357420</v>
      </c>
      <c r="O365" s="6">
        <f t="shared" si="46"/>
        <v>1.11129249759018</v>
      </c>
      <c r="P365" s="5">
        <v>2500870</v>
      </c>
      <c r="Q365" s="1">
        <f t="shared" si="47"/>
        <v>0.518756802425112</v>
      </c>
      <c r="S365" s="4">
        <f t="shared" si="40"/>
        <v>1.17331469320747</v>
      </c>
      <c r="T365" s="4">
        <f t="shared" si="41"/>
        <v>1.26473759884975</v>
      </c>
      <c r="U365" s="4">
        <f t="shared" si="42"/>
        <v>2.29667101827676</v>
      </c>
      <c r="V365" s="4">
        <f t="shared" si="43"/>
        <v>2.00072172163415</v>
      </c>
      <c r="W365" s="4">
        <f t="shared" si="44"/>
        <v>1.73604706328874</v>
      </c>
    </row>
    <row r="366" spans="1:23">
      <c r="A366" s="5" t="s">
        <v>383</v>
      </c>
      <c r="B366" s="5">
        <v>90449</v>
      </c>
      <c r="C366" s="5">
        <v>90449</v>
      </c>
      <c r="D366" s="5">
        <v>3753461</v>
      </c>
      <c r="E366" s="5">
        <v>63.674</v>
      </c>
      <c r="F366" s="5">
        <v>52.109</v>
      </c>
      <c r="G366" s="5">
        <v>48.69</v>
      </c>
      <c r="H366" s="5">
        <v>29.953</v>
      </c>
      <c r="I366" s="5">
        <v>36.137</v>
      </c>
      <c r="J366" s="5">
        <v>40.075</v>
      </c>
      <c r="K366" s="5">
        <v>3753461</v>
      </c>
      <c r="L366" s="5">
        <v>3761096</v>
      </c>
      <c r="M366" s="6">
        <f t="shared" si="45"/>
        <v>1.00203412264041</v>
      </c>
      <c r="N366" s="5">
        <v>3941328</v>
      </c>
      <c r="O366" s="6">
        <f t="shared" si="46"/>
        <v>1.0500516723099</v>
      </c>
      <c r="P366" s="5">
        <v>1967154</v>
      </c>
      <c r="Q366" s="1">
        <f t="shared" si="47"/>
        <v>0.524090699223996</v>
      </c>
      <c r="S366" s="4">
        <f t="shared" si="40"/>
        <v>1.2219386286438</v>
      </c>
      <c r="T366" s="4">
        <f t="shared" si="41"/>
        <v>1.30774286301089</v>
      </c>
      <c r="U366" s="4">
        <f t="shared" si="42"/>
        <v>2.12579708209528</v>
      </c>
      <c r="V366" s="4">
        <f t="shared" si="43"/>
        <v>1.76201676951601</v>
      </c>
      <c r="W366" s="4">
        <f t="shared" si="44"/>
        <v>1.58887086712414</v>
      </c>
    </row>
    <row r="367" spans="1:23">
      <c r="A367" s="5" t="s">
        <v>384</v>
      </c>
      <c r="B367" s="5">
        <v>5489</v>
      </c>
      <c r="C367" s="5">
        <v>5489</v>
      </c>
      <c r="D367" s="5">
        <v>281111</v>
      </c>
      <c r="E367" s="5">
        <v>4.443</v>
      </c>
      <c r="F367" s="5">
        <v>3.517</v>
      </c>
      <c r="G367" s="5">
        <v>3.145</v>
      </c>
      <c r="H367" s="5">
        <v>2.052</v>
      </c>
      <c r="I367" s="5">
        <v>2.445</v>
      </c>
      <c r="J367" s="5">
        <v>3.185</v>
      </c>
      <c r="K367" s="5">
        <v>281111</v>
      </c>
      <c r="L367" s="5">
        <v>281652</v>
      </c>
      <c r="M367" s="6">
        <f t="shared" si="45"/>
        <v>1.00192450668953</v>
      </c>
      <c r="N367" s="5">
        <v>313184</v>
      </c>
      <c r="O367" s="6">
        <f t="shared" si="46"/>
        <v>1.11409372098566</v>
      </c>
      <c r="P367" s="5">
        <v>146116</v>
      </c>
      <c r="Q367" s="1">
        <f t="shared" si="47"/>
        <v>0.519780442600965</v>
      </c>
      <c r="S367" s="4">
        <f t="shared" si="40"/>
        <v>1.26329257890247</v>
      </c>
      <c r="T367" s="4">
        <f t="shared" si="41"/>
        <v>1.4127186009539</v>
      </c>
      <c r="U367" s="4">
        <f t="shared" si="42"/>
        <v>2.16520467836257</v>
      </c>
      <c r="V367" s="4">
        <f t="shared" si="43"/>
        <v>1.81717791411043</v>
      </c>
      <c r="W367" s="4">
        <f t="shared" si="44"/>
        <v>1.39497645211931</v>
      </c>
    </row>
    <row r="368" spans="1:23">
      <c r="A368" s="5" t="s">
        <v>385</v>
      </c>
      <c r="B368" s="5">
        <v>5489</v>
      </c>
      <c r="C368" s="5">
        <v>5489</v>
      </c>
      <c r="D368" s="5">
        <v>219521</v>
      </c>
      <c r="E368" s="5">
        <v>3.399</v>
      </c>
      <c r="F368" s="5">
        <v>2.818</v>
      </c>
      <c r="G368" s="5">
        <v>2.339</v>
      </c>
      <c r="H368" s="5">
        <v>1.606</v>
      </c>
      <c r="I368" s="5">
        <v>1.983</v>
      </c>
      <c r="J368" s="5">
        <v>2.501</v>
      </c>
      <c r="K368" s="5">
        <v>219521</v>
      </c>
      <c r="L368" s="5">
        <v>219956</v>
      </c>
      <c r="M368" s="6">
        <f t="shared" si="45"/>
        <v>1.001981587183</v>
      </c>
      <c r="N368" s="5">
        <v>232488</v>
      </c>
      <c r="O368" s="6">
        <f t="shared" si="46"/>
        <v>1.05906951954483</v>
      </c>
      <c r="P368" s="5">
        <v>115262</v>
      </c>
      <c r="Q368" s="1">
        <f t="shared" si="47"/>
        <v>0.525061383648945</v>
      </c>
      <c r="S368" s="4">
        <f t="shared" si="40"/>
        <v>1.20617459190916</v>
      </c>
      <c r="T368" s="4">
        <f t="shared" si="41"/>
        <v>1.45318512184694</v>
      </c>
      <c r="U368" s="4">
        <f t="shared" si="42"/>
        <v>2.11643835616438</v>
      </c>
      <c r="V368" s="4">
        <f t="shared" si="43"/>
        <v>1.71406959152799</v>
      </c>
      <c r="W368" s="4">
        <f t="shared" si="44"/>
        <v>1.35905637744902</v>
      </c>
    </row>
    <row r="369" spans="1:23">
      <c r="A369" s="5" t="s">
        <v>386</v>
      </c>
      <c r="B369" s="5">
        <v>5357</v>
      </c>
      <c r="C369" s="5">
        <v>5357</v>
      </c>
      <c r="D369" s="5">
        <v>207695</v>
      </c>
      <c r="E369" s="5">
        <v>3.16</v>
      </c>
      <c r="F369" s="5">
        <v>2.626</v>
      </c>
      <c r="G369" s="5">
        <v>2.341</v>
      </c>
      <c r="H369" s="5">
        <v>1.492</v>
      </c>
      <c r="I369" s="5">
        <v>1.807</v>
      </c>
      <c r="J369" s="5">
        <v>2.204</v>
      </c>
      <c r="K369" s="5">
        <v>207695</v>
      </c>
      <c r="L369" s="5">
        <v>207952</v>
      </c>
      <c r="M369" s="6">
        <f t="shared" si="45"/>
        <v>1.00123739136715</v>
      </c>
      <c r="N369" s="5">
        <v>224280</v>
      </c>
      <c r="O369" s="6">
        <f t="shared" si="46"/>
        <v>1.07985266857652</v>
      </c>
      <c r="P369" s="5">
        <v>109208</v>
      </c>
      <c r="Q369" s="1">
        <f t="shared" si="47"/>
        <v>0.525809480247478</v>
      </c>
      <c r="S369" s="4">
        <f t="shared" si="40"/>
        <v>1.2033511043412</v>
      </c>
      <c r="T369" s="4">
        <f t="shared" si="41"/>
        <v>1.34985049124306</v>
      </c>
      <c r="U369" s="4">
        <f t="shared" si="42"/>
        <v>2.11796246648794</v>
      </c>
      <c r="V369" s="4">
        <f t="shared" si="43"/>
        <v>1.74875484228002</v>
      </c>
      <c r="W369" s="4">
        <f t="shared" si="44"/>
        <v>1.43375680580762</v>
      </c>
    </row>
    <row r="370" spans="1:23">
      <c r="A370" s="5" t="s">
        <v>387</v>
      </c>
      <c r="B370" s="5">
        <v>3564</v>
      </c>
      <c r="C370" s="5">
        <v>3564</v>
      </c>
      <c r="D370" s="5">
        <v>22316</v>
      </c>
      <c r="E370" s="5">
        <v>0.353</v>
      </c>
      <c r="F370" s="5">
        <v>0.465</v>
      </c>
      <c r="G370" s="5">
        <v>0.229</v>
      </c>
      <c r="H370" s="5">
        <v>0.477</v>
      </c>
      <c r="I370" s="5">
        <v>0.402</v>
      </c>
      <c r="J370" s="5">
        <v>0.381</v>
      </c>
      <c r="K370" s="5">
        <v>22316</v>
      </c>
      <c r="L370" s="5">
        <v>22348</v>
      </c>
      <c r="M370" s="6">
        <f t="shared" si="45"/>
        <v>1.00143394873633</v>
      </c>
      <c r="N370" s="5">
        <v>64944</v>
      </c>
      <c r="O370" s="6">
        <f t="shared" si="46"/>
        <v>2.91019896038717</v>
      </c>
      <c r="P370" s="5">
        <v>13406</v>
      </c>
      <c r="Q370" s="1">
        <f t="shared" si="47"/>
        <v>0.600734898727371</v>
      </c>
      <c r="S370" s="4">
        <f t="shared" si="40"/>
        <v>0.759139784946236</v>
      </c>
      <c r="T370" s="4">
        <f t="shared" si="41"/>
        <v>1.54148471615721</v>
      </c>
      <c r="U370" s="4">
        <f t="shared" si="42"/>
        <v>0.740041928721174</v>
      </c>
      <c r="V370" s="4">
        <f t="shared" si="43"/>
        <v>0.878109452736318</v>
      </c>
      <c r="W370" s="4">
        <f t="shared" si="44"/>
        <v>0.926509186351706</v>
      </c>
    </row>
    <row r="371" spans="1:23">
      <c r="A371" s="5" t="s">
        <v>388</v>
      </c>
      <c r="B371" s="5">
        <v>1391349</v>
      </c>
      <c r="C371" s="5">
        <v>1391349</v>
      </c>
      <c r="D371" s="5">
        <v>64531701</v>
      </c>
      <c r="E371" s="5">
        <v>1354.11</v>
      </c>
      <c r="F371" s="5">
        <v>1161.92</v>
      </c>
      <c r="G371" s="5">
        <v>1096.79</v>
      </c>
      <c r="H371" s="5">
        <v>873.228</v>
      </c>
      <c r="I371" s="5">
        <v>887.321</v>
      </c>
      <c r="J371" s="5">
        <v>786.464</v>
      </c>
      <c r="K371" s="5">
        <v>64531701</v>
      </c>
      <c r="L371" s="5">
        <v>64731348</v>
      </c>
      <c r="M371" s="6">
        <f t="shared" si="45"/>
        <v>1.00309378176782</v>
      </c>
      <c r="N371" s="5">
        <v>83276532</v>
      </c>
      <c r="O371" s="6">
        <f t="shared" si="46"/>
        <v>1.29047476991192</v>
      </c>
      <c r="P371" s="5">
        <v>34789138</v>
      </c>
      <c r="Q371" s="1">
        <f t="shared" si="47"/>
        <v>0.539101518492438</v>
      </c>
      <c r="S371" s="4">
        <f t="shared" si="40"/>
        <v>1.16540725695401</v>
      </c>
      <c r="T371" s="4">
        <f t="shared" si="41"/>
        <v>1.23461191294596</v>
      </c>
      <c r="U371" s="4">
        <f t="shared" si="42"/>
        <v>1.55069466393657</v>
      </c>
      <c r="V371" s="4">
        <f t="shared" si="43"/>
        <v>1.52606553885234</v>
      </c>
      <c r="W371" s="4">
        <f t="shared" si="44"/>
        <v>1.72176984579078</v>
      </c>
    </row>
    <row r="372" spans="1:23">
      <c r="A372" s="5" t="s">
        <v>389</v>
      </c>
      <c r="B372" s="5">
        <v>81920</v>
      </c>
      <c r="C372" s="5">
        <v>81920</v>
      </c>
      <c r="D372" s="5">
        <v>327680</v>
      </c>
      <c r="E372" s="5">
        <v>6.695</v>
      </c>
      <c r="F372" s="5">
        <v>8.063</v>
      </c>
      <c r="G372" s="5">
        <v>4.973</v>
      </c>
      <c r="H372" s="5">
        <v>9.441</v>
      </c>
      <c r="I372" s="5">
        <v>10.049</v>
      </c>
      <c r="J372" s="5">
        <v>6.141</v>
      </c>
      <c r="K372" s="5">
        <v>327680</v>
      </c>
      <c r="L372" s="5">
        <v>327680</v>
      </c>
      <c r="M372" s="6">
        <f t="shared" si="45"/>
        <v>1</v>
      </c>
      <c r="N372" s="5">
        <v>723680</v>
      </c>
      <c r="O372" s="6">
        <f t="shared" si="46"/>
        <v>2.20849609375</v>
      </c>
      <c r="P372" s="5">
        <v>273080</v>
      </c>
      <c r="Q372" s="1">
        <f t="shared" si="47"/>
        <v>0.8333740234375</v>
      </c>
      <c r="S372" s="4">
        <f t="shared" si="40"/>
        <v>0.830336103187399</v>
      </c>
      <c r="T372" s="4">
        <f t="shared" si="41"/>
        <v>1.34626985722904</v>
      </c>
      <c r="U372" s="4">
        <f t="shared" si="42"/>
        <v>0.709140980828302</v>
      </c>
      <c r="V372" s="4">
        <f t="shared" si="43"/>
        <v>0.666235446313066</v>
      </c>
      <c r="W372" s="4">
        <f t="shared" si="44"/>
        <v>1.09021332030614</v>
      </c>
    </row>
    <row r="373" spans="1:23">
      <c r="A373" s="5" t="s">
        <v>390</v>
      </c>
      <c r="B373" s="5">
        <v>81920</v>
      </c>
      <c r="C373" s="5">
        <v>81920</v>
      </c>
      <c r="D373" s="5">
        <v>327680</v>
      </c>
      <c r="E373" s="5">
        <v>6.663</v>
      </c>
      <c r="F373" s="5">
        <v>8.044</v>
      </c>
      <c r="G373" s="5">
        <v>4.955</v>
      </c>
      <c r="H373" s="5">
        <v>9.357</v>
      </c>
      <c r="I373" s="5">
        <v>10.084</v>
      </c>
      <c r="J373" s="5">
        <v>6.192</v>
      </c>
      <c r="K373" s="5">
        <v>327680</v>
      </c>
      <c r="L373" s="5">
        <v>327680</v>
      </c>
      <c r="M373" s="6">
        <f t="shared" si="45"/>
        <v>1</v>
      </c>
      <c r="N373" s="5">
        <v>723680</v>
      </c>
      <c r="O373" s="6">
        <f t="shared" si="46"/>
        <v>2.20849609375</v>
      </c>
      <c r="P373" s="5">
        <v>273080</v>
      </c>
      <c r="Q373" s="1">
        <f t="shared" si="47"/>
        <v>0.8333740234375</v>
      </c>
      <c r="S373" s="4">
        <f t="shared" si="40"/>
        <v>0.828319244157136</v>
      </c>
      <c r="T373" s="4">
        <f t="shared" si="41"/>
        <v>1.34470232088799</v>
      </c>
      <c r="U373" s="4">
        <f t="shared" si="42"/>
        <v>0.712087207438282</v>
      </c>
      <c r="V373" s="4">
        <f t="shared" si="43"/>
        <v>0.660749702499008</v>
      </c>
      <c r="W373" s="4">
        <f t="shared" si="44"/>
        <v>1.07606589147287</v>
      </c>
    </row>
    <row r="374" spans="1:23">
      <c r="A374" s="5" t="s">
        <v>391</v>
      </c>
      <c r="B374" s="5">
        <v>34920</v>
      </c>
      <c r="C374" s="5">
        <v>34920</v>
      </c>
      <c r="D374" s="5">
        <v>4644230</v>
      </c>
      <c r="E374" s="5">
        <v>89.27</v>
      </c>
      <c r="F374" s="5">
        <v>74.132</v>
      </c>
      <c r="G374" s="5">
        <v>71.86</v>
      </c>
      <c r="H374" s="5">
        <v>36.648</v>
      </c>
      <c r="I374" s="5">
        <v>40.013</v>
      </c>
      <c r="J374" s="5">
        <v>49.626</v>
      </c>
      <c r="K374" s="5">
        <v>4644230</v>
      </c>
      <c r="L374" s="5">
        <v>4660812</v>
      </c>
      <c r="M374" s="6">
        <f t="shared" si="45"/>
        <v>1.00357045193713</v>
      </c>
      <c r="N374" s="5">
        <v>5133788</v>
      </c>
      <c r="O374" s="6">
        <f t="shared" si="46"/>
        <v>1.10541209199372</v>
      </c>
      <c r="P374" s="5">
        <v>2357388</v>
      </c>
      <c r="Q374" s="1">
        <f t="shared" si="47"/>
        <v>0.507595015750727</v>
      </c>
      <c r="S374" s="4">
        <f t="shared" si="40"/>
        <v>1.20420331300923</v>
      </c>
      <c r="T374" s="4">
        <f t="shared" si="41"/>
        <v>1.2422766490398</v>
      </c>
      <c r="U374" s="4">
        <f t="shared" si="42"/>
        <v>2.43587644619079</v>
      </c>
      <c r="V374" s="4">
        <f t="shared" si="43"/>
        <v>2.23102491690201</v>
      </c>
      <c r="W374" s="4">
        <f t="shared" si="44"/>
        <v>1.79885543868134</v>
      </c>
    </row>
    <row r="375" spans="1:23">
      <c r="A375" s="5" t="s">
        <v>392</v>
      </c>
      <c r="B375" s="5">
        <v>121728</v>
      </c>
      <c r="C375" s="5">
        <v>121728</v>
      </c>
      <c r="D375" s="5">
        <v>8086034</v>
      </c>
      <c r="E375" s="5">
        <v>160.853</v>
      </c>
      <c r="F375" s="5">
        <v>136.981</v>
      </c>
      <c r="G375" s="5">
        <v>131.132</v>
      </c>
      <c r="H375" s="5">
        <v>86.135</v>
      </c>
      <c r="I375" s="5">
        <v>76.652</v>
      </c>
      <c r="J375" s="5">
        <v>89.797</v>
      </c>
      <c r="K375" s="5">
        <v>8086034</v>
      </c>
      <c r="L375" s="5">
        <v>8105388</v>
      </c>
      <c r="M375" s="6">
        <f t="shared" si="45"/>
        <v>1.00239350959939</v>
      </c>
      <c r="N375" s="5">
        <v>9684272</v>
      </c>
      <c r="O375" s="6">
        <f t="shared" si="46"/>
        <v>1.19765412809296</v>
      </c>
      <c r="P375" s="5">
        <v>4164760</v>
      </c>
      <c r="Q375" s="1">
        <f t="shared" si="47"/>
        <v>0.515055959448105</v>
      </c>
      <c r="S375" s="4">
        <f t="shared" si="40"/>
        <v>1.17427234433973</v>
      </c>
      <c r="T375" s="4">
        <f t="shared" si="41"/>
        <v>1.22664948296373</v>
      </c>
      <c r="U375" s="4">
        <f t="shared" si="42"/>
        <v>1.86745225518082</v>
      </c>
      <c r="V375" s="4">
        <f t="shared" si="43"/>
        <v>2.09848405781976</v>
      </c>
      <c r="W375" s="4">
        <f t="shared" si="44"/>
        <v>1.79129592302638</v>
      </c>
    </row>
    <row r="376" spans="1:23">
      <c r="A376" s="5" t="s">
        <v>393</v>
      </c>
      <c r="B376" s="5">
        <v>140874</v>
      </c>
      <c r="C376" s="5">
        <v>140874</v>
      </c>
      <c r="D376" s="5">
        <v>7813404</v>
      </c>
      <c r="E376" s="5">
        <v>153.864</v>
      </c>
      <c r="F376" s="5">
        <v>121.347</v>
      </c>
      <c r="G376" s="5">
        <v>122.64</v>
      </c>
      <c r="H376" s="5">
        <v>89.457</v>
      </c>
      <c r="I376" s="5">
        <v>71.539</v>
      </c>
      <c r="J376" s="5">
        <v>88.76</v>
      </c>
      <c r="K376" s="5">
        <v>7813404</v>
      </c>
      <c r="L376" s="5">
        <v>7825920</v>
      </c>
      <c r="M376" s="6">
        <f t="shared" si="45"/>
        <v>1.00160186264527</v>
      </c>
      <c r="N376" s="5">
        <v>9853416</v>
      </c>
      <c r="O376" s="6">
        <f t="shared" si="46"/>
        <v>1.26109132460065</v>
      </c>
      <c r="P376" s="5">
        <v>4047576</v>
      </c>
      <c r="Q376" s="1">
        <f t="shared" si="47"/>
        <v>0.518029785737433</v>
      </c>
      <c r="S376" s="4">
        <f t="shared" si="40"/>
        <v>1.26796706964325</v>
      </c>
      <c r="T376" s="4">
        <f t="shared" si="41"/>
        <v>1.2545988258317</v>
      </c>
      <c r="U376" s="4">
        <f t="shared" si="42"/>
        <v>1.71997719574768</v>
      </c>
      <c r="V376" s="4">
        <f t="shared" si="43"/>
        <v>2.15077090817596</v>
      </c>
      <c r="W376" s="4">
        <f t="shared" si="44"/>
        <v>1.73348355114917</v>
      </c>
    </row>
    <row r="377" spans="1:23">
      <c r="A377" s="5" t="s">
        <v>394</v>
      </c>
      <c r="B377" s="5">
        <v>179860</v>
      </c>
      <c r="C377" s="5">
        <v>179860</v>
      </c>
      <c r="D377" s="5">
        <v>10113096</v>
      </c>
      <c r="E377" s="5">
        <v>199.288</v>
      </c>
      <c r="F377" s="5">
        <v>167.073</v>
      </c>
      <c r="G377" s="5">
        <v>161.097</v>
      </c>
      <c r="H377" s="5">
        <v>109.33</v>
      </c>
      <c r="I377" s="5">
        <v>98.422</v>
      </c>
      <c r="J377" s="5">
        <v>110.552</v>
      </c>
      <c r="K377" s="5">
        <v>10113096</v>
      </c>
      <c r="L377" s="5">
        <v>10139772</v>
      </c>
      <c r="M377" s="6">
        <f t="shared" si="45"/>
        <v>1.00263776790016</v>
      </c>
      <c r="N377" s="5">
        <v>12664924</v>
      </c>
      <c r="O377" s="6">
        <f t="shared" si="46"/>
        <v>1.25232905927127</v>
      </c>
      <c r="P377" s="5">
        <v>5237538</v>
      </c>
      <c r="Q377" s="1">
        <f t="shared" si="47"/>
        <v>0.517896596650521</v>
      </c>
      <c r="S377" s="4">
        <f t="shared" si="40"/>
        <v>1.19281990507144</v>
      </c>
      <c r="T377" s="4">
        <f t="shared" si="41"/>
        <v>1.23706835012446</v>
      </c>
      <c r="U377" s="4">
        <f t="shared" si="42"/>
        <v>1.82281167108753</v>
      </c>
      <c r="V377" s="4">
        <f t="shared" si="43"/>
        <v>2.02483184653838</v>
      </c>
      <c r="W377" s="4">
        <f t="shared" si="44"/>
        <v>1.80266300021709</v>
      </c>
    </row>
    <row r="378" spans="1:23">
      <c r="A378" s="5" t="s">
        <v>395</v>
      </c>
      <c r="B378" s="5">
        <v>114919</v>
      </c>
      <c r="C378" s="5">
        <v>114919</v>
      </c>
      <c r="D378" s="5">
        <v>6653399</v>
      </c>
      <c r="E378" s="5">
        <v>130.067</v>
      </c>
      <c r="F378" s="5">
        <v>109.199</v>
      </c>
      <c r="G378" s="5">
        <v>106.982</v>
      </c>
      <c r="H378" s="5">
        <v>71.861</v>
      </c>
      <c r="I378" s="5">
        <v>63.839</v>
      </c>
      <c r="J378" s="5">
        <v>72.406</v>
      </c>
      <c r="K378" s="5">
        <v>6653399</v>
      </c>
      <c r="L378" s="5">
        <v>6671780</v>
      </c>
      <c r="M378" s="6">
        <f t="shared" si="45"/>
        <v>1.00276264808408</v>
      </c>
      <c r="N378" s="5">
        <v>8082096</v>
      </c>
      <c r="O378" s="6">
        <f t="shared" si="46"/>
        <v>1.21473189868817</v>
      </c>
      <c r="P378" s="5">
        <v>3443086</v>
      </c>
      <c r="Q378" s="1">
        <f t="shared" si="47"/>
        <v>0.517492788272581</v>
      </c>
      <c r="S378" s="4">
        <f t="shared" si="40"/>
        <v>1.19110065110486</v>
      </c>
      <c r="T378" s="4">
        <f t="shared" si="41"/>
        <v>1.21578396365744</v>
      </c>
      <c r="U378" s="4">
        <f t="shared" si="42"/>
        <v>1.80998037878682</v>
      </c>
      <c r="V378" s="4">
        <f t="shared" si="43"/>
        <v>2.03742226538636</v>
      </c>
      <c r="W378" s="4">
        <f t="shared" si="44"/>
        <v>1.79635665552579</v>
      </c>
    </row>
    <row r="379" spans="1:23">
      <c r="A379" s="5" t="s">
        <v>396</v>
      </c>
      <c r="B379" s="5">
        <v>17077</v>
      </c>
      <c r="C379" s="5">
        <v>17077</v>
      </c>
      <c r="D379" s="5">
        <v>875923</v>
      </c>
      <c r="E379" s="5">
        <v>14.542</v>
      </c>
      <c r="F379" s="5">
        <v>12.044</v>
      </c>
      <c r="G379" s="5">
        <v>10.17</v>
      </c>
      <c r="H379" s="5">
        <v>13.576</v>
      </c>
      <c r="I379" s="5">
        <v>9.889</v>
      </c>
      <c r="J379" s="5">
        <v>10.224</v>
      </c>
      <c r="K379" s="5">
        <v>875923</v>
      </c>
      <c r="L379" s="5">
        <v>890024</v>
      </c>
      <c r="M379" s="6">
        <f t="shared" si="45"/>
        <v>1.01609844700961</v>
      </c>
      <c r="N379" s="5">
        <v>1965544</v>
      </c>
      <c r="O379" s="6">
        <f t="shared" si="46"/>
        <v>2.24396893334231</v>
      </c>
      <c r="P379" s="5">
        <v>538520</v>
      </c>
      <c r="Q379" s="1">
        <f t="shared" si="47"/>
        <v>0.614802899341609</v>
      </c>
      <c r="S379" s="4">
        <f t="shared" si="40"/>
        <v>1.20740617734972</v>
      </c>
      <c r="T379" s="4">
        <f t="shared" si="41"/>
        <v>1.4298918387414</v>
      </c>
      <c r="U379" s="4">
        <f t="shared" si="42"/>
        <v>1.07115497937537</v>
      </c>
      <c r="V379" s="4">
        <f t="shared" si="43"/>
        <v>1.47052280311457</v>
      </c>
      <c r="W379" s="4">
        <f t="shared" si="44"/>
        <v>1.42233959311424</v>
      </c>
    </row>
    <row r="380" spans="1:23">
      <c r="A380" s="5" t="s">
        <v>397</v>
      </c>
      <c r="B380" s="5">
        <v>97569</v>
      </c>
      <c r="C380" s="5">
        <v>97569</v>
      </c>
      <c r="D380" s="5">
        <v>5156379</v>
      </c>
      <c r="E380" s="5">
        <v>103.829</v>
      </c>
      <c r="F380" s="5">
        <v>92.566</v>
      </c>
      <c r="G380" s="5">
        <v>81.343</v>
      </c>
      <c r="H380" s="5">
        <v>113.754</v>
      </c>
      <c r="I380" s="5">
        <v>62.663</v>
      </c>
      <c r="J380" s="5">
        <v>63.623</v>
      </c>
      <c r="K380" s="5">
        <v>5156379</v>
      </c>
      <c r="L380" s="5">
        <v>5224548</v>
      </c>
      <c r="M380" s="6">
        <f t="shared" si="45"/>
        <v>1.01322032379699</v>
      </c>
      <c r="N380" s="5">
        <v>11932352</v>
      </c>
      <c r="O380" s="6">
        <f t="shared" si="46"/>
        <v>2.31409522069654</v>
      </c>
      <c r="P380" s="5">
        <v>3174480</v>
      </c>
      <c r="Q380" s="1">
        <f t="shared" si="47"/>
        <v>0.615641325046122</v>
      </c>
      <c r="S380" s="4">
        <f t="shared" si="40"/>
        <v>1.12167534515913</v>
      </c>
      <c r="T380" s="4">
        <f t="shared" si="41"/>
        <v>1.27643435821152</v>
      </c>
      <c r="U380" s="4">
        <f t="shared" si="42"/>
        <v>0.912750320867837</v>
      </c>
      <c r="V380" s="4">
        <f t="shared" si="43"/>
        <v>1.65694269345547</v>
      </c>
      <c r="W380" s="4">
        <f t="shared" si="44"/>
        <v>1.63194127909718</v>
      </c>
    </row>
    <row r="381" spans="1:23">
      <c r="A381" s="5" t="s">
        <v>398</v>
      </c>
      <c r="B381" s="5">
        <v>185639</v>
      </c>
      <c r="C381" s="5">
        <v>185639</v>
      </c>
      <c r="D381" s="5">
        <v>15011265</v>
      </c>
      <c r="E381" s="5">
        <v>309.614</v>
      </c>
      <c r="F381" s="5">
        <v>259.912</v>
      </c>
      <c r="G381" s="5">
        <v>249.937</v>
      </c>
      <c r="H381" s="5">
        <v>239.796</v>
      </c>
      <c r="I381" s="5">
        <v>180.943</v>
      </c>
      <c r="J381" s="5">
        <v>171.672</v>
      </c>
      <c r="K381" s="5">
        <v>15011265</v>
      </c>
      <c r="L381" s="5">
        <v>15168960</v>
      </c>
      <c r="M381" s="6">
        <f t="shared" si="45"/>
        <v>1.01050511066189</v>
      </c>
      <c r="N381" s="5">
        <v>28897488</v>
      </c>
      <c r="O381" s="6">
        <f t="shared" si="46"/>
        <v>1.92505348483289</v>
      </c>
      <c r="P381" s="5">
        <v>8650788</v>
      </c>
      <c r="Q381" s="1">
        <f t="shared" si="47"/>
        <v>0.576286408906911</v>
      </c>
      <c r="S381" s="4">
        <f t="shared" si="40"/>
        <v>1.1912262611961</v>
      </c>
      <c r="T381" s="4">
        <f t="shared" si="41"/>
        <v>1.23876816957873</v>
      </c>
      <c r="U381" s="4">
        <f t="shared" si="42"/>
        <v>1.29115581577674</v>
      </c>
      <c r="V381" s="4">
        <f t="shared" si="43"/>
        <v>1.71111344456542</v>
      </c>
      <c r="W381" s="4">
        <f t="shared" si="44"/>
        <v>1.80352066731907</v>
      </c>
    </row>
    <row r="382" spans="1:23">
      <c r="A382" s="5" t="s">
        <v>399</v>
      </c>
      <c r="B382" s="5">
        <v>19896</v>
      </c>
      <c r="C382" s="5">
        <v>19896</v>
      </c>
      <c r="D382" s="5">
        <v>738598</v>
      </c>
      <c r="E382" s="5">
        <v>12.042</v>
      </c>
      <c r="F382" s="5">
        <v>10.491</v>
      </c>
      <c r="G382" s="5">
        <v>8.759</v>
      </c>
      <c r="H382" s="5">
        <v>13.908</v>
      </c>
      <c r="I382" s="5">
        <v>9.727</v>
      </c>
      <c r="J382" s="5">
        <v>9.07</v>
      </c>
      <c r="K382" s="5">
        <v>738598</v>
      </c>
      <c r="L382" s="5">
        <v>742612</v>
      </c>
      <c r="M382" s="6">
        <f t="shared" si="45"/>
        <v>1.00543462072738</v>
      </c>
      <c r="N382" s="5">
        <v>2037344</v>
      </c>
      <c r="O382" s="6">
        <f t="shared" si="46"/>
        <v>2.75839360518171</v>
      </c>
      <c r="P382" s="5">
        <v>489336</v>
      </c>
      <c r="Q382" s="1">
        <f t="shared" si="47"/>
        <v>0.66252007181173</v>
      </c>
      <c r="S382" s="4">
        <f t="shared" si="40"/>
        <v>1.14784100657707</v>
      </c>
      <c r="T382" s="4">
        <f t="shared" si="41"/>
        <v>1.37481447653842</v>
      </c>
      <c r="U382" s="4">
        <f t="shared" si="42"/>
        <v>0.865832614322692</v>
      </c>
      <c r="V382" s="4">
        <f t="shared" si="43"/>
        <v>1.23799732702786</v>
      </c>
      <c r="W382" s="4">
        <f t="shared" si="44"/>
        <v>1.32767364939361</v>
      </c>
    </row>
    <row r="383" spans="1:23">
      <c r="A383" s="5" t="s">
        <v>400</v>
      </c>
      <c r="B383" s="5">
        <v>240369</v>
      </c>
      <c r="C383" s="5">
        <v>240369</v>
      </c>
      <c r="D383" s="5">
        <v>10661631</v>
      </c>
      <c r="E383" s="5">
        <v>225.377</v>
      </c>
      <c r="F383" s="5">
        <v>205.365</v>
      </c>
      <c r="G383" s="5">
        <v>179.986</v>
      </c>
      <c r="H383" s="5">
        <v>272.536</v>
      </c>
      <c r="I383" s="5">
        <v>165.839</v>
      </c>
      <c r="J383" s="5">
        <v>139.934</v>
      </c>
      <c r="K383" s="5">
        <v>10661631</v>
      </c>
      <c r="L383" s="5">
        <v>10741008</v>
      </c>
      <c r="M383" s="6">
        <f t="shared" si="45"/>
        <v>1.00744510853921</v>
      </c>
      <c r="N383" s="5">
        <v>27650312</v>
      </c>
      <c r="O383" s="6">
        <f t="shared" si="46"/>
        <v>2.59344109733304</v>
      </c>
      <c r="P383" s="5">
        <v>6820240</v>
      </c>
      <c r="Q383" s="1">
        <f t="shared" si="47"/>
        <v>0.639699498134948</v>
      </c>
      <c r="S383" s="4">
        <f t="shared" si="40"/>
        <v>1.09744601076133</v>
      </c>
      <c r="T383" s="4">
        <f t="shared" si="41"/>
        <v>1.25219183714289</v>
      </c>
      <c r="U383" s="4">
        <f t="shared" si="42"/>
        <v>0.826962309566443</v>
      </c>
      <c r="V383" s="4">
        <f t="shared" si="43"/>
        <v>1.35901084787053</v>
      </c>
      <c r="W383" s="4">
        <f t="shared" si="44"/>
        <v>1.61059499478325</v>
      </c>
    </row>
    <row r="384" spans="1:23">
      <c r="A384" s="5" t="s">
        <v>401</v>
      </c>
      <c r="B384" s="5">
        <v>5041</v>
      </c>
      <c r="C384" s="5">
        <v>5041</v>
      </c>
      <c r="D384" s="5">
        <v>171903</v>
      </c>
      <c r="E384" s="5">
        <v>2.71</v>
      </c>
      <c r="F384" s="5">
        <v>2.345</v>
      </c>
      <c r="G384" s="5">
        <v>1.843</v>
      </c>
      <c r="H384" s="5">
        <v>2.917</v>
      </c>
      <c r="I384" s="5">
        <v>2.291</v>
      </c>
      <c r="J384" s="5">
        <v>2.09</v>
      </c>
      <c r="K384" s="5">
        <v>171903</v>
      </c>
      <c r="L384" s="5">
        <v>174320</v>
      </c>
      <c r="M384" s="6">
        <f t="shared" si="45"/>
        <v>1.0140602549112</v>
      </c>
      <c r="N384" s="5">
        <v>447336</v>
      </c>
      <c r="O384" s="6">
        <f t="shared" si="46"/>
        <v>2.60225825029232</v>
      </c>
      <c r="P384" s="5">
        <v>113862</v>
      </c>
      <c r="Q384" s="1">
        <f t="shared" si="47"/>
        <v>0.662361913404653</v>
      </c>
      <c r="S384" s="4">
        <f t="shared" si="40"/>
        <v>1.15565031982942</v>
      </c>
      <c r="T384" s="4">
        <f t="shared" si="41"/>
        <v>1.47042864894194</v>
      </c>
      <c r="U384" s="4">
        <f t="shared" si="42"/>
        <v>0.929036681522112</v>
      </c>
      <c r="V384" s="4">
        <f t="shared" si="43"/>
        <v>1.18288956787429</v>
      </c>
      <c r="W384" s="4">
        <f t="shared" si="44"/>
        <v>1.29665071770335</v>
      </c>
    </row>
    <row r="385" spans="1:23">
      <c r="A385" s="5" t="s">
        <v>402</v>
      </c>
      <c r="B385" s="5">
        <v>5743</v>
      </c>
      <c r="C385" s="5">
        <v>5743</v>
      </c>
      <c r="D385" s="5">
        <v>198787</v>
      </c>
      <c r="E385" s="5">
        <v>3.116</v>
      </c>
      <c r="F385" s="5">
        <v>2.659</v>
      </c>
      <c r="G385" s="5">
        <v>2.247</v>
      </c>
      <c r="H385" s="5">
        <v>3.399</v>
      </c>
      <c r="I385" s="5">
        <v>2.627</v>
      </c>
      <c r="J385" s="5">
        <v>2.376</v>
      </c>
      <c r="K385" s="5">
        <v>198787</v>
      </c>
      <c r="L385" s="5">
        <v>200640</v>
      </c>
      <c r="M385" s="6">
        <f t="shared" si="45"/>
        <v>1.00932153511044</v>
      </c>
      <c r="N385" s="5">
        <v>518772</v>
      </c>
      <c r="O385" s="6">
        <f t="shared" si="46"/>
        <v>2.60968775624161</v>
      </c>
      <c r="P385" s="5">
        <v>131242</v>
      </c>
      <c r="Q385" s="1">
        <f t="shared" si="47"/>
        <v>0.660214199117649</v>
      </c>
      <c r="S385" s="4">
        <f t="shared" si="40"/>
        <v>1.17186912373073</v>
      </c>
      <c r="T385" s="4">
        <f t="shared" si="41"/>
        <v>1.38673787271918</v>
      </c>
      <c r="U385" s="4">
        <f t="shared" si="42"/>
        <v>0.916740217711091</v>
      </c>
      <c r="V385" s="4">
        <f t="shared" si="43"/>
        <v>1.18614389036924</v>
      </c>
      <c r="W385" s="4">
        <f t="shared" si="44"/>
        <v>1.31144781144781</v>
      </c>
    </row>
    <row r="386" spans="1:23">
      <c r="A386" s="5" t="s">
        <v>403</v>
      </c>
      <c r="B386" s="5">
        <v>33401</v>
      </c>
      <c r="C386" s="5">
        <v>33401</v>
      </c>
      <c r="D386" s="5">
        <v>1317655</v>
      </c>
      <c r="E386" s="5">
        <v>21.7</v>
      </c>
      <c r="F386" s="5">
        <v>18.609</v>
      </c>
      <c r="G386" s="5">
        <v>15.903</v>
      </c>
      <c r="H386" s="5">
        <v>25.34</v>
      </c>
      <c r="I386" s="5">
        <v>17.549</v>
      </c>
      <c r="J386" s="5">
        <v>16.054</v>
      </c>
      <c r="K386" s="5">
        <v>1317655</v>
      </c>
      <c r="L386" s="5">
        <v>1335320</v>
      </c>
      <c r="M386" s="6">
        <f t="shared" si="45"/>
        <v>1.01340639241683</v>
      </c>
      <c r="N386" s="5">
        <v>3495372</v>
      </c>
      <c r="O386" s="6">
        <f t="shared" si="46"/>
        <v>2.65272169118624</v>
      </c>
      <c r="P386" s="5">
        <v>859624</v>
      </c>
      <c r="Q386" s="1">
        <f t="shared" si="47"/>
        <v>0.652389282475306</v>
      </c>
      <c r="S386" s="4">
        <f t="shared" ref="S386:S445" si="48">E386/F386</f>
        <v>1.16610242355849</v>
      </c>
      <c r="T386" s="4">
        <f t="shared" ref="T386:T445" si="49">E386/G386</f>
        <v>1.364522417154</v>
      </c>
      <c r="U386" s="4">
        <f t="shared" ref="U386:U445" si="50">E386/H386</f>
        <v>0.856353591160221</v>
      </c>
      <c r="V386" s="4">
        <f t="shared" ref="V386:V445" si="51">E386/I386</f>
        <v>1.23653769445552</v>
      </c>
      <c r="W386" s="4">
        <f t="shared" ref="W386:W445" si="52">E386/J386</f>
        <v>1.35168805282173</v>
      </c>
    </row>
    <row r="387" spans="1:23">
      <c r="A387" s="5" t="s">
        <v>404</v>
      </c>
      <c r="B387" s="5">
        <v>155331</v>
      </c>
      <c r="C387" s="5">
        <v>155331</v>
      </c>
      <c r="D387" s="5">
        <v>11283503</v>
      </c>
      <c r="E387" s="5">
        <v>235.086</v>
      </c>
      <c r="F387" s="5">
        <v>202.698</v>
      </c>
      <c r="G387" s="5">
        <v>187.56</v>
      </c>
      <c r="H387" s="5">
        <v>196.633</v>
      </c>
      <c r="I387" s="5">
        <v>131.972</v>
      </c>
      <c r="J387" s="5">
        <v>133.69</v>
      </c>
      <c r="K387" s="5">
        <v>11283503</v>
      </c>
      <c r="L387" s="5">
        <v>11474576</v>
      </c>
      <c r="M387" s="6">
        <f t="shared" ref="M387:M445" si="53">L387/K387</f>
        <v>1.01693383694762</v>
      </c>
      <c r="N387" s="5">
        <v>22804124</v>
      </c>
      <c r="O387" s="6">
        <f t="shared" ref="O387:O445" si="54">N387/K387</f>
        <v>2.02101457322252</v>
      </c>
      <c r="P387" s="5">
        <v>6619774</v>
      </c>
      <c r="Q387" s="1">
        <f t="shared" ref="Q387:Q445" si="55">P387/K387</f>
        <v>0.586677204765222</v>
      </c>
      <c r="S387" s="4">
        <f t="shared" si="48"/>
        <v>1.15978450700056</v>
      </c>
      <c r="T387" s="4">
        <f t="shared" si="49"/>
        <v>1.25339091490723</v>
      </c>
      <c r="U387" s="4">
        <f t="shared" si="50"/>
        <v>1.19555720555553</v>
      </c>
      <c r="V387" s="4">
        <f t="shared" si="51"/>
        <v>1.78133240384324</v>
      </c>
      <c r="W387" s="4">
        <f t="shared" si="52"/>
        <v>1.7584411698706</v>
      </c>
    </row>
    <row r="388" spans="1:23">
      <c r="A388" s="5" t="s">
        <v>405</v>
      </c>
      <c r="B388" s="5">
        <v>10262</v>
      </c>
      <c r="C388" s="5">
        <v>10262</v>
      </c>
      <c r="D388" s="5">
        <v>61046</v>
      </c>
      <c r="E388" s="5">
        <v>1.079</v>
      </c>
      <c r="F388" s="5">
        <v>1.307</v>
      </c>
      <c r="G388" s="5">
        <v>0.721</v>
      </c>
      <c r="H388" s="5">
        <v>1.456</v>
      </c>
      <c r="I388" s="5">
        <v>1.319</v>
      </c>
      <c r="J388" s="5">
        <v>1.058</v>
      </c>
      <c r="K388" s="5">
        <v>61046</v>
      </c>
      <c r="L388" s="5">
        <v>61196</v>
      </c>
      <c r="M388" s="6">
        <f t="shared" si="53"/>
        <v>1.00245716345051</v>
      </c>
      <c r="N388" s="5">
        <v>172384</v>
      </c>
      <c r="O388" s="6">
        <f t="shared" si="54"/>
        <v>2.82383776168791</v>
      </c>
      <c r="P388" s="5">
        <v>52098</v>
      </c>
      <c r="Q388" s="1">
        <f t="shared" si="55"/>
        <v>0.853422009632081</v>
      </c>
      <c r="S388" s="4">
        <f t="shared" si="48"/>
        <v>0.825554705432288</v>
      </c>
      <c r="T388" s="4">
        <f t="shared" si="49"/>
        <v>1.49653259361997</v>
      </c>
      <c r="U388" s="4">
        <f t="shared" si="50"/>
        <v>0.741071428571429</v>
      </c>
      <c r="V388" s="4">
        <f t="shared" si="51"/>
        <v>0.818043972706596</v>
      </c>
      <c r="W388" s="4">
        <f t="shared" si="52"/>
        <v>1.01984877126654</v>
      </c>
    </row>
    <row r="389" spans="1:23">
      <c r="A389" s="5" t="s">
        <v>406</v>
      </c>
      <c r="B389" s="5">
        <v>25710</v>
      </c>
      <c r="C389" s="5">
        <v>25710</v>
      </c>
      <c r="D389" s="5">
        <v>3753184</v>
      </c>
      <c r="E389" s="5">
        <v>75.632</v>
      </c>
      <c r="F389" s="5">
        <v>61.135</v>
      </c>
      <c r="G389" s="5">
        <v>64.812</v>
      </c>
      <c r="H389" s="5">
        <v>32.236</v>
      </c>
      <c r="I389" s="5">
        <v>33.261</v>
      </c>
      <c r="J389" s="5">
        <v>38.3</v>
      </c>
      <c r="K389" s="5">
        <v>3753184</v>
      </c>
      <c r="L389" s="5">
        <v>3769228</v>
      </c>
      <c r="M389" s="6">
        <f t="shared" si="53"/>
        <v>1.00427477043492</v>
      </c>
      <c r="N389" s="5">
        <v>4568396</v>
      </c>
      <c r="O389" s="6">
        <f t="shared" si="54"/>
        <v>1.2172054447637</v>
      </c>
      <c r="P389" s="5">
        <v>1947928</v>
      </c>
      <c r="Q389" s="1">
        <f t="shared" si="55"/>
        <v>0.519006795297006</v>
      </c>
      <c r="S389" s="4">
        <f t="shared" si="48"/>
        <v>1.23713093972356</v>
      </c>
      <c r="T389" s="4">
        <f t="shared" si="49"/>
        <v>1.16694439301364</v>
      </c>
      <c r="U389" s="4">
        <f t="shared" si="50"/>
        <v>2.34619679861025</v>
      </c>
      <c r="V389" s="4">
        <f t="shared" si="51"/>
        <v>2.27389435074111</v>
      </c>
      <c r="W389" s="4">
        <f t="shared" si="52"/>
        <v>1.97472584856397</v>
      </c>
    </row>
    <row r="390" spans="1:23">
      <c r="A390" s="5" t="s">
        <v>407</v>
      </c>
      <c r="B390" s="5">
        <v>50000</v>
      </c>
      <c r="C390" s="5">
        <v>50000</v>
      </c>
      <c r="D390" s="5">
        <v>1548988</v>
      </c>
      <c r="E390" s="5">
        <v>27.865</v>
      </c>
      <c r="F390" s="5">
        <v>26.097</v>
      </c>
      <c r="G390" s="5">
        <v>24.186</v>
      </c>
      <c r="H390" s="5">
        <v>54.69</v>
      </c>
      <c r="I390" s="5">
        <v>39.634</v>
      </c>
      <c r="J390" s="5">
        <v>23.634</v>
      </c>
      <c r="K390" s="5">
        <v>1548988</v>
      </c>
      <c r="L390" s="5">
        <v>1553932</v>
      </c>
      <c r="M390" s="6">
        <f t="shared" si="53"/>
        <v>1.00319176133062</v>
      </c>
      <c r="N390" s="5">
        <v>6189920</v>
      </c>
      <c r="O390" s="6">
        <f t="shared" si="54"/>
        <v>3.99610584459015</v>
      </c>
      <c r="P390" s="5">
        <v>1548092</v>
      </c>
      <c r="Q390" s="1">
        <f t="shared" si="55"/>
        <v>0.999421557817104</v>
      </c>
      <c r="S390" s="4">
        <f t="shared" si="48"/>
        <v>1.06774725064184</v>
      </c>
      <c r="T390" s="4">
        <f t="shared" si="49"/>
        <v>1.1521127925246</v>
      </c>
      <c r="U390" s="4">
        <f t="shared" si="50"/>
        <v>0.50950813677089</v>
      </c>
      <c r="V390" s="4">
        <f t="shared" si="51"/>
        <v>0.703057980521774</v>
      </c>
      <c r="W390" s="4">
        <f t="shared" si="52"/>
        <v>1.17902174832868</v>
      </c>
    </row>
    <row r="391" spans="1:23">
      <c r="A391" s="5" t="s">
        <v>408</v>
      </c>
      <c r="B391" s="5">
        <v>29995</v>
      </c>
      <c r="C391" s="5">
        <v>29995</v>
      </c>
      <c r="D391" s="5">
        <v>229947</v>
      </c>
      <c r="E391" s="5">
        <v>3.667</v>
      </c>
      <c r="F391" s="5">
        <v>4.34</v>
      </c>
      <c r="G391" s="5">
        <v>2.943</v>
      </c>
      <c r="H391" s="5">
        <v>5.328</v>
      </c>
      <c r="I391" s="5">
        <v>4.279</v>
      </c>
      <c r="J391" s="5">
        <v>3.621</v>
      </c>
      <c r="K391" s="5">
        <v>229947</v>
      </c>
      <c r="L391" s="5">
        <v>230092</v>
      </c>
      <c r="M391" s="6">
        <f t="shared" si="53"/>
        <v>1.00063058009019</v>
      </c>
      <c r="N391" s="5">
        <v>239952</v>
      </c>
      <c r="O391" s="6">
        <f t="shared" si="54"/>
        <v>1.04351002622343</v>
      </c>
      <c r="P391" s="5">
        <v>139968</v>
      </c>
      <c r="Q391" s="1">
        <f t="shared" si="55"/>
        <v>0.608696786650837</v>
      </c>
      <c r="S391" s="4">
        <f t="shared" si="48"/>
        <v>0.844930875576037</v>
      </c>
      <c r="T391" s="4">
        <f t="shared" si="49"/>
        <v>1.24600747536527</v>
      </c>
      <c r="U391" s="4">
        <f t="shared" si="50"/>
        <v>0.688250750750751</v>
      </c>
      <c r="V391" s="4">
        <f t="shared" si="51"/>
        <v>0.856975928955363</v>
      </c>
      <c r="W391" s="4">
        <f t="shared" si="52"/>
        <v>1.0127036730185</v>
      </c>
    </row>
    <row r="392" spans="1:23">
      <c r="A392" s="5" t="s">
        <v>409</v>
      </c>
      <c r="B392" s="5">
        <v>1465137</v>
      </c>
      <c r="C392" s="5">
        <v>1465137</v>
      </c>
      <c r="D392" s="5">
        <v>21005389</v>
      </c>
      <c r="E392" s="5">
        <v>460.147</v>
      </c>
      <c r="F392" s="5">
        <v>456.864</v>
      </c>
      <c r="G392" s="5">
        <v>396.673</v>
      </c>
      <c r="H392" s="5">
        <v>576.687</v>
      </c>
      <c r="I392" s="5">
        <v>549.827</v>
      </c>
      <c r="J392" s="5">
        <v>368.06</v>
      </c>
      <c r="K392" s="5">
        <v>21005389</v>
      </c>
      <c r="L392" s="5">
        <v>21087044</v>
      </c>
      <c r="M392" s="6">
        <f t="shared" si="53"/>
        <v>1.00388733576893</v>
      </c>
      <c r="N392" s="5">
        <v>48643564</v>
      </c>
      <c r="O392" s="6">
        <f t="shared" si="54"/>
        <v>2.31576592083108</v>
      </c>
      <c r="P392" s="5">
        <v>14600928</v>
      </c>
      <c r="Q392" s="1">
        <f t="shared" si="55"/>
        <v>0.69510390881121</v>
      </c>
      <c r="S392" s="4">
        <f t="shared" si="48"/>
        <v>1.00718594592702</v>
      </c>
      <c r="T392" s="4">
        <f t="shared" si="49"/>
        <v>1.16001593251872</v>
      </c>
      <c r="U392" s="4">
        <f t="shared" si="50"/>
        <v>0.797914640004023</v>
      </c>
      <c r="V392" s="4">
        <f t="shared" si="51"/>
        <v>0.836894150341835</v>
      </c>
      <c r="W392" s="4">
        <f t="shared" si="52"/>
        <v>1.2501956202793</v>
      </c>
    </row>
    <row r="393" spans="1:23">
      <c r="A393" s="5" t="s">
        <v>410</v>
      </c>
      <c r="B393" s="5">
        <v>49666</v>
      </c>
      <c r="C393" s="5">
        <v>49666</v>
      </c>
      <c r="D393" s="5">
        <v>558594</v>
      </c>
      <c r="E393" s="5">
        <v>9.341</v>
      </c>
      <c r="F393" s="5">
        <v>9.986</v>
      </c>
      <c r="G393" s="5">
        <v>7.212</v>
      </c>
      <c r="H393" s="5">
        <v>7.816</v>
      </c>
      <c r="I393" s="5">
        <v>7.963</v>
      </c>
      <c r="J393" s="5">
        <v>8.434</v>
      </c>
      <c r="K393" s="5">
        <v>558594</v>
      </c>
      <c r="L393" s="5">
        <v>558600</v>
      </c>
      <c r="M393" s="6">
        <f t="shared" si="53"/>
        <v>1.00001074125393</v>
      </c>
      <c r="N393" s="5">
        <v>923656</v>
      </c>
      <c r="O393" s="6">
        <f t="shared" si="54"/>
        <v>1.65353727394136</v>
      </c>
      <c r="P393" s="5">
        <v>313352</v>
      </c>
      <c r="Q393" s="1">
        <f t="shared" si="55"/>
        <v>0.560965567120306</v>
      </c>
      <c r="S393" s="4">
        <f t="shared" si="48"/>
        <v>0.935409573402764</v>
      </c>
      <c r="T393" s="4">
        <f t="shared" si="49"/>
        <v>1.29520244037715</v>
      </c>
      <c r="U393" s="4">
        <f t="shared" si="50"/>
        <v>1.19511258955988</v>
      </c>
      <c r="V393" s="4">
        <f t="shared" si="51"/>
        <v>1.17305035790531</v>
      </c>
      <c r="W393" s="4">
        <f t="shared" si="52"/>
        <v>1.10754090585724</v>
      </c>
    </row>
    <row r="394" spans="1:23">
      <c r="A394" s="5" t="s">
        <v>411</v>
      </c>
      <c r="B394" s="5">
        <v>12546</v>
      </c>
      <c r="C394" s="5">
        <v>12546</v>
      </c>
      <c r="D394" s="5">
        <v>140034</v>
      </c>
      <c r="E394" s="5">
        <v>2.149</v>
      </c>
      <c r="F394" s="5">
        <v>2.324</v>
      </c>
      <c r="G394" s="5">
        <v>1.545</v>
      </c>
      <c r="H394" s="5">
        <v>1.822</v>
      </c>
      <c r="I394" s="5">
        <v>1.83</v>
      </c>
      <c r="J394" s="5">
        <v>1.976</v>
      </c>
      <c r="K394" s="5">
        <v>140034</v>
      </c>
      <c r="L394" s="5">
        <v>140040</v>
      </c>
      <c r="M394" s="6">
        <f t="shared" si="53"/>
        <v>1.00004284673722</v>
      </c>
      <c r="N394" s="5">
        <v>232456</v>
      </c>
      <c r="O394" s="6">
        <f t="shared" si="54"/>
        <v>1.65999685790594</v>
      </c>
      <c r="P394" s="5">
        <v>78856</v>
      </c>
      <c r="Q394" s="1">
        <f t="shared" si="55"/>
        <v>0.563120385049345</v>
      </c>
      <c r="S394" s="4">
        <f t="shared" si="48"/>
        <v>0.924698795180723</v>
      </c>
      <c r="T394" s="4">
        <f t="shared" si="49"/>
        <v>1.39093851132686</v>
      </c>
      <c r="U394" s="4">
        <f t="shared" si="50"/>
        <v>1.1794731064764</v>
      </c>
      <c r="V394" s="4">
        <f t="shared" si="51"/>
        <v>1.17431693989071</v>
      </c>
      <c r="W394" s="4">
        <f t="shared" si="52"/>
        <v>1.08755060728745</v>
      </c>
    </row>
    <row r="395" spans="1:23">
      <c r="A395" s="5" t="s">
        <v>412</v>
      </c>
      <c r="B395" s="5">
        <v>12546</v>
      </c>
      <c r="C395" s="5">
        <v>12546</v>
      </c>
      <c r="D395" s="5">
        <v>140034</v>
      </c>
      <c r="E395" s="5">
        <v>2.114</v>
      </c>
      <c r="F395" s="5">
        <v>2.304</v>
      </c>
      <c r="G395" s="5">
        <v>1.543</v>
      </c>
      <c r="H395" s="5">
        <v>1.769</v>
      </c>
      <c r="I395" s="5">
        <v>1.821</v>
      </c>
      <c r="J395" s="5">
        <v>1.991</v>
      </c>
      <c r="K395" s="5">
        <v>140034</v>
      </c>
      <c r="L395" s="5">
        <v>140040</v>
      </c>
      <c r="M395" s="6">
        <f t="shared" si="53"/>
        <v>1.00004284673722</v>
      </c>
      <c r="N395" s="5">
        <v>232456</v>
      </c>
      <c r="O395" s="6">
        <f t="shared" si="54"/>
        <v>1.65999685790594</v>
      </c>
      <c r="P395" s="5">
        <v>78856</v>
      </c>
      <c r="Q395" s="1">
        <f t="shared" si="55"/>
        <v>0.563120385049345</v>
      </c>
      <c r="S395" s="4">
        <f t="shared" si="48"/>
        <v>0.917534722222222</v>
      </c>
      <c r="T395" s="4">
        <f t="shared" si="49"/>
        <v>1.3700583279326</v>
      </c>
      <c r="U395" s="4">
        <f t="shared" si="50"/>
        <v>1.19502543810062</v>
      </c>
      <c r="V395" s="4">
        <f t="shared" si="51"/>
        <v>1.1609006040637</v>
      </c>
      <c r="W395" s="4">
        <f t="shared" si="52"/>
        <v>1.06177800100452</v>
      </c>
    </row>
    <row r="396" spans="1:23">
      <c r="A396" s="5" t="s">
        <v>413</v>
      </c>
      <c r="B396" s="5">
        <v>4098</v>
      </c>
      <c r="C396" s="5">
        <v>4098</v>
      </c>
      <c r="D396" s="5">
        <v>72356</v>
      </c>
      <c r="E396" s="5">
        <v>1.119</v>
      </c>
      <c r="F396" s="5">
        <v>1.063</v>
      </c>
      <c r="G396" s="5">
        <v>0.756</v>
      </c>
      <c r="H396" s="5">
        <v>1.208</v>
      </c>
      <c r="I396" s="5">
        <v>1.26</v>
      </c>
      <c r="J396" s="5">
        <v>1.045</v>
      </c>
      <c r="K396" s="5">
        <v>72356</v>
      </c>
      <c r="L396" s="5">
        <v>74824</v>
      </c>
      <c r="M396" s="6">
        <f t="shared" si="53"/>
        <v>1.03410912709381</v>
      </c>
      <c r="N396" s="5">
        <v>165152</v>
      </c>
      <c r="O396" s="6">
        <f t="shared" si="54"/>
        <v>2.28249212228426</v>
      </c>
      <c r="P396" s="5">
        <v>46396</v>
      </c>
      <c r="Q396" s="1">
        <f t="shared" si="55"/>
        <v>0.641218420034275</v>
      </c>
      <c r="S396" s="4">
        <f t="shared" si="48"/>
        <v>1.05268109125118</v>
      </c>
      <c r="T396" s="4">
        <f t="shared" si="49"/>
        <v>1.48015873015873</v>
      </c>
      <c r="U396" s="4">
        <f t="shared" si="50"/>
        <v>0.926324503311258</v>
      </c>
      <c r="V396" s="4">
        <f t="shared" si="51"/>
        <v>0.888095238095238</v>
      </c>
      <c r="W396" s="4">
        <f t="shared" si="52"/>
        <v>1.07081339712919</v>
      </c>
    </row>
    <row r="397" spans="1:23">
      <c r="A397" s="5" t="s">
        <v>414</v>
      </c>
      <c r="B397" s="5">
        <v>11445</v>
      </c>
      <c r="C397" s="5">
        <v>11445</v>
      </c>
      <c r="D397" s="5">
        <v>176117</v>
      </c>
      <c r="E397" s="5">
        <v>2.903</v>
      </c>
      <c r="F397" s="5">
        <v>2.795</v>
      </c>
      <c r="G397" s="5">
        <v>1.94</v>
      </c>
      <c r="H397" s="5">
        <v>2.192</v>
      </c>
      <c r="I397" s="5">
        <v>2.541</v>
      </c>
      <c r="J397" s="5">
        <v>2.459</v>
      </c>
      <c r="K397" s="5">
        <v>176117</v>
      </c>
      <c r="L397" s="5">
        <v>176376</v>
      </c>
      <c r="M397" s="6">
        <f t="shared" si="53"/>
        <v>1.00147061328549</v>
      </c>
      <c r="N397" s="5">
        <v>292544</v>
      </c>
      <c r="O397" s="6">
        <f t="shared" si="54"/>
        <v>1.66107757910934</v>
      </c>
      <c r="P397" s="5">
        <v>107716</v>
      </c>
      <c r="Q397" s="1">
        <f t="shared" si="55"/>
        <v>0.61161614154227</v>
      </c>
      <c r="S397" s="4">
        <f t="shared" si="48"/>
        <v>1.0386404293381</v>
      </c>
      <c r="T397" s="4">
        <f t="shared" si="49"/>
        <v>1.49639175257732</v>
      </c>
      <c r="U397" s="4">
        <f t="shared" si="50"/>
        <v>1.32436131386861</v>
      </c>
      <c r="V397" s="4">
        <f t="shared" si="51"/>
        <v>1.14246359700905</v>
      </c>
      <c r="W397" s="4">
        <f t="shared" si="52"/>
        <v>1.18056120374136</v>
      </c>
    </row>
    <row r="398" spans="1:23">
      <c r="A398" s="5" t="s">
        <v>415</v>
      </c>
      <c r="B398" s="5">
        <v>11445</v>
      </c>
      <c r="C398" s="5">
        <v>11445</v>
      </c>
      <c r="D398" s="5">
        <v>176117</v>
      </c>
      <c r="E398" s="5">
        <v>2.878</v>
      </c>
      <c r="F398" s="5">
        <v>2.777</v>
      </c>
      <c r="G398" s="5">
        <v>1.932</v>
      </c>
      <c r="H398" s="5">
        <v>2.179</v>
      </c>
      <c r="I398" s="5">
        <v>2.493</v>
      </c>
      <c r="J398" s="5">
        <v>2.429</v>
      </c>
      <c r="K398" s="5">
        <v>176117</v>
      </c>
      <c r="L398" s="5">
        <v>176376</v>
      </c>
      <c r="M398" s="6">
        <f t="shared" si="53"/>
        <v>1.00147061328549</v>
      </c>
      <c r="N398" s="5">
        <v>292544</v>
      </c>
      <c r="O398" s="6">
        <f t="shared" si="54"/>
        <v>1.66107757910934</v>
      </c>
      <c r="P398" s="5">
        <v>107716</v>
      </c>
      <c r="Q398" s="1">
        <f t="shared" si="55"/>
        <v>0.61161614154227</v>
      </c>
      <c r="S398" s="4">
        <f t="shared" si="48"/>
        <v>1.03637018365142</v>
      </c>
      <c r="T398" s="4">
        <f t="shared" si="49"/>
        <v>1.48964803312629</v>
      </c>
      <c r="U398" s="4">
        <f t="shared" si="50"/>
        <v>1.32078935291418</v>
      </c>
      <c r="V398" s="4">
        <f t="shared" si="51"/>
        <v>1.1544324107501</v>
      </c>
      <c r="W398" s="4">
        <f t="shared" si="52"/>
        <v>1.18484973240016</v>
      </c>
    </row>
    <row r="399" spans="1:23">
      <c r="A399" s="5" t="s">
        <v>416</v>
      </c>
      <c r="B399" s="5">
        <v>11445</v>
      </c>
      <c r="C399" s="5">
        <v>11445</v>
      </c>
      <c r="D399" s="5">
        <v>176117</v>
      </c>
      <c r="E399" s="5">
        <v>2.915</v>
      </c>
      <c r="F399" s="5">
        <v>2.825</v>
      </c>
      <c r="G399" s="5">
        <v>1.95</v>
      </c>
      <c r="H399" s="5">
        <v>2.202</v>
      </c>
      <c r="I399" s="5">
        <v>2.531</v>
      </c>
      <c r="J399" s="5">
        <v>2.434</v>
      </c>
      <c r="K399" s="5">
        <v>176117</v>
      </c>
      <c r="L399" s="5">
        <v>176376</v>
      </c>
      <c r="M399" s="6">
        <f t="shared" si="53"/>
        <v>1.00147061328549</v>
      </c>
      <c r="N399" s="5">
        <v>292544</v>
      </c>
      <c r="O399" s="6">
        <f t="shared" si="54"/>
        <v>1.66107757910934</v>
      </c>
      <c r="P399" s="5">
        <v>107716</v>
      </c>
      <c r="Q399" s="1">
        <f t="shared" si="55"/>
        <v>0.61161614154227</v>
      </c>
      <c r="S399" s="4">
        <f t="shared" si="48"/>
        <v>1.03185840707965</v>
      </c>
      <c r="T399" s="4">
        <f t="shared" si="49"/>
        <v>1.49487179487179</v>
      </c>
      <c r="U399" s="4">
        <f t="shared" si="50"/>
        <v>1.32379654859219</v>
      </c>
      <c r="V399" s="4">
        <f t="shared" si="51"/>
        <v>1.15171868826551</v>
      </c>
      <c r="W399" s="4">
        <f t="shared" si="52"/>
        <v>1.19761709120789</v>
      </c>
    </row>
    <row r="400" spans="1:23">
      <c r="A400" s="5" t="s">
        <v>417</v>
      </c>
      <c r="B400" s="5">
        <v>4257</v>
      </c>
      <c r="C400" s="5">
        <v>4257</v>
      </c>
      <c r="D400" s="5">
        <v>37465</v>
      </c>
      <c r="E400" s="5">
        <v>0.55</v>
      </c>
      <c r="F400" s="5">
        <v>0.635</v>
      </c>
      <c r="G400" s="5">
        <v>0.383</v>
      </c>
      <c r="H400" s="5">
        <v>0.468</v>
      </c>
      <c r="I400" s="5">
        <v>0.557</v>
      </c>
      <c r="J400" s="5">
        <v>0.588</v>
      </c>
      <c r="K400" s="5">
        <v>37465</v>
      </c>
      <c r="L400" s="5">
        <v>37488</v>
      </c>
      <c r="M400" s="6">
        <f t="shared" si="53"/>
        <v>1.00061390631256</v>
      </c>
      <c r="N400" s="5">
        <v>57144</v>
      </c>
      <c r="O400" s="6">
        <f t="shared" si="54"/>
        <v>1.52526357934072</v>
      </c>
      <c r="P400" s="5">
        <v>22148</v>
      </c>
      <c r="Q400" s="1">
        <f t="shared" si="55"/>
        <v>0.591165087414921</v>
      </c>
      <c r="S400" s="4">
        <f t="shared" si="48"/>
        <v>0.866141732283465</v>
      </c>
      <c r="T400" s="4">
        <f t="shared" si="49"/>
        <v>1.43603133159269</v>
      </c>
      <c r="U400" s="4">
        <f t="shared" si="50"/>
        <v>1.17521367521368</v>
      </c>
      <c r="V400" s="4">
        <f t="shared" si="51"/>
        <v>0.987432675044883</v>
      </c>
      <c r="W400" s="4">
        <f t="shared" si="52"/>
        <v>0.935374149659864</v>
      </c>
    </row>
    <row r="401" spans="1:23">
      <c r="A401" s="5" t="s">
        <v>418</v>
      </c>
      <c r="B401" s="5">
        <v>4257</v>
      </c>
      <c r="C401" s="5">
        <v>4257</v>
      </c>
      <c r="D401" s="5">
        <v>37465</v>
      </c>
      <c r="E401" s="5">
        <v>0.552</v>
      </c>
      <c r="F401" s="5">
        <v>0.629</v>
      </c>
      <c r="G401" s="5">
        <v>0.381</v>
      </c>
      <c r="H401" s="5">
        <v>0.466</v>
      </c>
      <c r="I401" s="5">
        <v>0.564</v>
      </c>
      <c r="J401" s="5">
        <v>0.582</v>
      </c>
      <c r="K401" s="5">
        <v>37465</v>
      </c>
      <c r="L401" s="5">
        <v>37488</v>
      </c>
      <c r="M401" s="6">
        <f t="shared" si="53"/>
        <v>1.00061390631256</v>
      </c>
      <c r="N401" s="5">
        <v>57144</v>
      </c>
      <c r="O401" s="6">
        <f t="shared" si="54"/>
        <v>1.52526357934072</v>
      </c>
      <c r="P401" s="5">
        <v>22148</v>
      </c>
      <c r="Q401" s="1">
        <f t="shared" si="55"/>
        <v>0.591165087414921</v>
      </c>
      <c r="S401" s="4">
        <f t="shared" si="48"/>
        <v>0.87758346581876</v>
      </c>
      <c r="T401" s="4">
        <f t="shared" si="49"/>
        <v>1.4488188976378</v>
      </c>
      <c r="U401" s="4">
        <f t="shared" si="50"/>
        <v>1.18454935622318</v>
      </c>
      <c r="V401" s="4">
        <f t="shared" si="51"/>
        <v>0.978723404255319</v>
      </c>
      <c r="W401" s="4">
        <f t="shared" si="52"/>
        <v>0.948453608247423</v>
      </c>
    </row>
    <row r="402" spans="1:23">
      <c r="A402" s="5" t="s">
        <v>419</v>
      </c>
      <c r="B402" s="5">
        <v>4257</v>
      </c>
      <c r="C402" s="5">
        <v>4257</v>
      </c>
      <c r="D402" s="5">
        <v>37465</v>
      </c>
      <c r="E402" s="5">
        <v>0.553</v>
      </c>
      <c r="F402" s="5">
        <v>0.629</v>
      </c>
      <c r="G402" s="5">
        <v>0.383</v>
      </c>
      <c r="H402" s="5">
        <v>0.465</v>
      </c>
      <c r="I402" s="5">
        <v>0.563</v>
      </c>
      <c r="J402" s="5">
        <v>0.58</v>
      </c>
      <c r="K402" s="5">
        <v>37465</v>
      </c>
      <c r="L402" s="5">
        <v>37488</v>
      </c>
      <c r="M402" s="6">
        <f t="shared" si="53"/>
        <v>1.00061390631256</v>
      </c>
      <c r="N402" s="5">
        <v>57144</v>
      </c>
      <c r="O402" s="6">
        <f t="shared" si="54"/>
        <v>1.52526357934072</v>
      </c>
      <c r="P402" s="5">
        <v>22148</v>
      </c>
      <c r="Q402" s="1">
        <f t="shared" si="55"/>
        <v>0.591165087414921</v>
      </c>
      <c r="S402" s="4">
        <f t="shared" si="48"/>
        <v>0.879173290937997</v>
      </c>
      <c r="T402" s="4">
        <f t="shared" si="49"/>
        <v>1.44386422976501</v>
      </c>
      <c r="U402" s="4">
        <f t="shared" si="50"/>
        <v>1.18924731182796</v>
      </c>
      <c r="V402" s="4">
        <f t="shared" si="51"/>
        <v>0.982238010657194</v>
      </c>
      <c r="W402" s="4">
        <f t="shared" si="52"/>
        <v>0.953448275862069</v>
      </c>
    </row>
    <row r="403" spans="1:23">
      <c r="A403" s="5" t="s">
        <v>420</v>
      </c>
      <c r="B403" s="5">
        <v>4257</v>
      </c>
      <c r="C403" s="5">
        <v>4257</v>
      </c>
      <c r="D403" s="5">
        <v>4257</v>
      </c>
      <c r="E403" s="5">
        <v>0.106</v>
      </c>
      <c r="F403" s="5">
        <v>0.117</v>
      </c>
      <c r="G403" s="5">
        <v>0.067</v>
      </c>
      <c r="H403" s="5">
        <v>0.272</v>
      </c>
      <c r="I403" s="5">
        <v>0.24</v>
      </c>
      <c r="J403" s="5">
        <v>0.136</v>
      </c>
      <c r="K403" s="5">
        <v>4257</v>
      </c>
      <c r="L403" s="5">
        <v>4256</v>
      </c>
      <c r="M403" s="6">
        <f t="shared" si="53"/>
        <v>0.999765092788349</v>
      </c>
      <c r="N403" s="5">
        <v>17028</v>
      </c>
      <c r="O403" s="6">
        <f t="shared" si="54"/>
        <v>4</v>
      </c>
      <c r="P403" s="5">
        <v>4256</v>
      </c>
      <c r="Q403" s="1">
        <f t="shared" si="55"/>
        <v>0.999765092788349</v>
      </c>
      <c r="S403" s="4">
        <f t="shared" si="48"/>
        <v>0.905982905982906</v>
      </c>
      <c r="T403" s="4">
        <f t="shared" si="49"/>
        <v>1.58208955223881</v>
      </c>
      <c r="U403" s="4">
        <f t="shared" si="50"/>
        <v>0.389705882352941</v>
      </c>
      <c r="V403" s="4">
        <f t="shared" si="51"/>
        <v>0.441666666666667</v>
      </c>
      <c r="W403" s="4">
        <f t="shared" si="52"/>
        <v>0.779411764705882</v>
      </c>
    </row>
    <row r="404" spans="1:23">
      <c r="A404" s="5" t="s">
        <v>421</v>
      </c>
      <c r="B404" s="5">
        <v>79171</v>
      </c>
      <c r="C404" s="5">
        <v>79171</v>
      </c>
      <c r="D404" s="5">
        <v>4352105</v>
      </c>
      <c r="E404" s="5">
        <v>83.057</v>
      </c>
      <c r="F404" s="5">
        <v>71.766</v>
      </c>
      <c r="G404" s="5">
        <v>65.438</v>
      </c>
      <c r="H404" s="5">
        <v>69.128</v>
      </c>
      <c r="I404" s="5">
        <v>56.726</v>
      </c>
      <c r="J404" s="5">
        <v>47.028</v>
      </c>
      <c r="K404" s="5">
        <v>4352105</v>
      </c>
      <c r="L404" s="5">
        <v>4362764</v>
      </c>
      <c r="M404" s="6">
        <f t="shared" si="53"/>
        <v>1.00244915965952</v>
      </c>
      <c r="N404" s="5">
        <v>7465060</v>
      </c>
      <c r="O404" s="6">
        <f t="shared" si="54"/>
        <v>1.71527571140862</v>
      </c>
      <c r="P404" s="5">
        <v>2645094</v>
      </c>
      <c r="Q404" s="1">
        <f t="shared" si="55"/>
        <v>0.607773479729924</v>
      </c>
      <c r="S404" s="4">
        <f t="shared" si="48"/>
        <v>1.15733076944514</v>
      </c>
      <c r="T404" s="4">
        <f t="shared" si="49"/>
        <v>1.26924722638222</v>
      </c>
      <c r="U404" s="4">
        <f t="shared" si="50"/>
        <v>1.20149577595186</v>
      </c>
      <c r="V404" s="4">
        <f t="shared" si="51"/>
        <v>1.4641786834961</v>
      </c>
      <c r="W404" s="4">
        <f t="shared" si="52"/>
        <v>1.76611805732755</v>
      </c>
    </row>
    <row r="405" spans="1:23">
      <c r="A405" s="5" t="s">
        <v>422</v>
      </c>
      <c r="B405" s="5">
        <v>79171</v>
      </c>
      <c r="C405" s="5">
        <v>79171</v>
      </c>
      <c r="D405" s="5">
        <v>4352105</v>
      </c>
      <c r="E405" s="5">
        <v>81.315</v>
      </c>
      <c r="F405" s="5">
        <v>69.722</v>
      </c>
      <c r="G405" s="5">
        <v>63.565</v>
      </c>
      <c r="H405" s="5">
        <v>97.784</v>
      </c>
      <c r="I405" s="5">
        <v>56.317</v>
      </c>
      <c r="J405" s="5">
        <v>47.518</v>
      </c>
      <c r="K405" s="5">
        <v>4352105</v>
      </c>
      <c r="L405" s="5">
        <v>4362764</v>
      </c>
      <c r="M405" s="6">
        <f t="shared" si="53"/>
        <v>1.00244915965952</v>
      </c>
      <c r="N405" s="5">
        <v>7465060</v>
      </c>
      <c r="O405" s="6">
        <f t="shared" si="54"/>
        <v>1.71527571140862</v>
      </c>
      <c r="P405" s="5">
        <v>2645094</v>
      </c>
      <c r="Q405" s="1">
        <f t="shared" si="55"/>
        <v>0.607773479729924</v>
      </c>
      <c r="S405" s="4">
        <f t="shared" si="48"/>
        <v>1.16627463354465</v>
      </c>
      <c r="T405" s="4">
        <f t="shared" si="49"/>
        <v>1.27924172107292</v>
      </c>
      <c r="U405" s="4">
        <f t="shared" si="50"/>
        <v>0.831577763233249</v>
      </c>
      <c r="V405" s="4">
        <f t="shared" si="51"/>
        <v>1.44388017827654</v>
      </c>
      <c r="W405" s="4">
        <f t="shared" si="52"/>
        <v>1.71124626457342</v>
      </c>
    </row>
    <row r="406" spans="1:23">
      <c r="A406" s="5" t="s">
        <v>423</v>
      </c>
      <c r="B406" s="5">
        <v>79171</v>
      </c>
      <c r="C406" s="5">
        <v>79171</v>
      </c>
      <c r="D406" s="5">
        <v>4352105</v>
      </c>
      <c r="E406" s="5">
        <v>82.523</v>
      </c>
      <c r="F406" s="5">
        <v>72.199</v>
      </c>
      <c r="G406" s="5">
        <v>64.962</v>
      </c>
      <c r="H406" s="5">
        <v>65.353</v>
      </c>
      <c r="I406" s="5">
        <v>56.307</v>
      </c>
      <c r="J406" s="5">
        <v>46.844</v>
      </c>
      <c r="K406" s="5">
        <v>4352105</v>
      </c>
      <c r="L406" s="5">
        <v>4362764</v>
      </c>
      <c r="M406" s="6">
        <f t="shared" si="53"/>
        <v>1.00244915965952</v>
      </c>
      <c r="N406" s="5">
        <v>7465060</v>
      </c>
      <c r="O406" s="6">
        <f t="shared" si="54"/>
        <v>1.71527571140862</v>
      </c>
      <c r="P406" s="5">
        <v>2645094</v>
      </c>
      <c r="Q406" s="1">
        <f t="shared" si="55"/>
        <v>0.607773479729924</v>
      </c>
      <c r="S406" s="4">
        <f t="shared" si="48"/>
        <v>1.14299367027244</v>
      </c>
      <c r="T406" s="4">
        <f t="shared" si="49"/>
        <v>1.27032726824913</v>
      </c>
      <c r="U406" s="4">
        <f t="shared" si="50"/>
        <v>1.26272703624929</v>
      </c>
      <c r="V406" s="4">
        <f t="shared" si="51"/>
        <v>1.46559042392598</v>
      </c>
      <c r="W406" s="4">
        <f t="shared" si="52"/>
        <v>1.76165570830843</v>
      </c>
    </row>
    <row r="407" spans="1:23">
      <c r="A407" s="5" t="s">
        <v>424</v>
      </c>
      <c r="B407" s="5">
        <v>20360</v>
      </c>
      <c r="C407" s="5">
        <v>20360</v>
      </c>
      <c r="D407" s="5">
        <v>509866</v>
      </c>
      <c r="E407" s="5">
        <v>8.077</v>
      </c>
      <c r="F407" s="5">
        <v>7.769</v>
      </c>
      <c r="G407" s="5">
        <v>6.013</v>
      </c>
      <c r="H407" s="5">
        <v>8.043</v>
      </c>
      <c r="I407" s="5">
        <v>8.817</v>
      </c>
      <c r="J407" s="5">
        <v>6.065</v>
      </c>
      <c r="K407" s="5">
        <v>509866</v>
      </c>
      <c r="L407" s="5">
        <v>510548</v>
      </c>
      <c r="M407" s="6">
        <f t="shared" si="53"/>
        <v>1.00133760635147</v>
      </c>
      <c r="N407" s="5">
        <v>1062236</v>
      </c>
      <c r="O407" s="6">
        <f t="shared" si="54"/>
        <v>2.08336307971114</v>
      </c>
      <c r="P407" s="5">
        <v>332274</v>
      </c>
      <c r="Q407" s="1">
        <f t="shared" si="55"/>
        <v>0.651688875116207</v>
      </c>
      <c r="S407" s="4">
        <f t="shared" si="48"/>
        <v>1.03964474192303</v>
      </c>
      <c r="T407" s="4">
        <f t="shared" si="49"/>
        <v>1.34325627806419</v>
      </c>
      <c r="U407" s="4">
        <f t="shared" si="50"/>
        <v>1.00422727837871</v>
      </c>
      <c r="V407" s="4">
        <f t="shared" si="51"/>
        <v>0.916071226040603</v>
      </c>
      <c r="W407" s="4">
        <f t="shared" si="52"/>
        <v>1.33173948887057</v>
      </c>
    </row>
    <row r="408" spans="1:23">
      <c r="A408" s="5" t="s">
        <v>425</v>
      </c>
      <c r="B408" s="5">
        <v>20360</v>
      </c>
      <c r="C408" s="5">
        <v>20360</v>
      </c>
      <c r="D408" s="5">
        <v>509866</v>
      </c>
      <c r="E408" s="5">
        <v>8.046</v>
      </c>
      <c r="F408" s="5">
        <v>7.771</v>
      </c>
      <c r="G408" s="5">
        <v>5.922</v>
      </c>
      <c r="H408" s="5">
        <v>7.962</v>
      </c>
      <c r="I408" s="5">
        <v>8.832</v>
      </c>
      <c r="J408" s="5">
        <v>6.323</v>
      </c>
      <c r="K408" s="5">
        <v>509866</v>
      </c>
      <c r="L408" s="5">
        <v>510548</v>
      </c>
      <c r="M408" s="6">
        <f t="shared" si="53"/>
        <v>1.00133760635147</v>
      </c>
      <c r="N408" s="5">
        <v>1062236</v>
      </c>
      <c r="O408" s="6">
        <f t="shared" si="54"/>
        <v>2.08336307971114</v>
      </c>
      <c r="P408" s="5">
        <v>332274</v>
      </c>
      <c r="Q408" s="1">
        <f t="shared" si="55"/>
        <v>0.651688875116207</v>
      </c>
      <c r="S408" s="4">
        <f t="shared" si="48"/>
        <v>1.03538798095483</v>
      </c>
      <c r="T408" s="4">
        <f t="shared" si="49"/>
        <v>1.35866261398176</v>
      </c>
      <c r="U408" s="4">
        <f t="shared" si="50"/>
        <v>1.01055011303693</v>
      </c>
      <c r="V408" s="4">
        <f t="shared" si="51"/>
        <v>0.911005434782609</v>
      </c>
      <c r="W408" s="4">
        <f t="shared" si="52"/>
        <v>1.27249723232643</v>
      </c>
    </row>
    <row r="409" spans="1:23">
      <c r="A409" s="5" t="s">
        <v>426</v>
      </c>
      <c r="B409" s="5">
        <v>20360</v>
      </c>
      <c r="C409" s="5">
        <v>20360</v>
      </c>
      <c r="D409" s="5">
        <v>20360</v>
      </c>
      <c r="E409" s="5">
        <v>0.543</v>
      </c>
      <c r="F409" s="5">
        <v>0.576</v>
      </c>
      <c r="G409" s="5">
        <v>0.368</v>
      </c>
      <c r="H409" s="5">
        <v>1.35</v>
      </c>
      <c r="I409" s="5">
        <v>1.195</v>
      </c>
      <c r="J409" s="5">
        <v>0.55</v>
      </c>
      <c r="K409" s="5">
        <v>20360</v>
      </c>
      <c r="L409" s="5">
        <v>20360</v>
      </c>
      <c r="M409" s="6">
        <f t="shared" si="53"/>
        <v>1</v>
      </c>
      <c r="N409" s="5">
        <v>81440</v>
      </c>
      <c r="O409" s="6">
        <f t="shared" si="54"/>
        <v>4</v>
      </c>
      <c r="P409" s="5">
        <v>20360</v>
      </c>
      <c r="Q409" s="1">
        <f t="shared" si="55"/>
        <v>1</v>
      </c>
      <c r="S409" s="4">
        <f t="shared" si="48"/>
        <v>0.942708333333333</v>
      </c>
      <c r="T409" s="4">
        <f t="shared" si="49"/>
        <v>1.47554347826087</v>
      </c>
      <c r="U409" s="4">
        <f t="shared" si="50"/>
        <v>0.402222222222222</v>
      </c>
      <c r="V409" s="4">
        <f t="shared" si="51"/>
        <v>0.454393305439331</v>
      </c>
      <c r="W409" s="4">
        <f t="shared" si="52"/>
        <v>0.987272727272727</v>
      </c>
    </row>
    <row r="410" spans="1:23">
      <c r="A410" s="5" t="s">
        <v>427</v>
      </c>
      <c r="B410" s="5">
        <v>10605</v>
      </c>
      <c r="C410" s="5">
        <v>10605</v>
      </c>
      <c r="D410" s="5">
        <v>144579</v>
      </c>
      <c r="E410" s="5">
        <v>2.227</v>
      </c>
      <c r="F410" s="5">
        <v>2.103</v>
      </c>
      <c r="G410" s="5">
        <v>1.592</v>
      </c>
      <c r="H410" s="5">
        <v>1.919</v>
      </c>
      <c r="I410" s="5">
        <v>1.558</v>
      </c>
      <c r="J410" s="5">
        <v>1.883</v>
      </c>
      <c r="K410" s="5">
        <v>144579</v>
      </c>
      <c r="L410" s="5">
        <v>145088</v>
      </c>
      <c r="M410" s="6">
        <f t="shared" si="53"/>
        <v>1.00352056661064</v>
      </c>
      <c r="N410" s="5">
        <v>251572</v>
      </c>
      <c r="O410" s="6">
        <f t="shared" si="54"/>
        <v>1.74003140151751</v>
      </c>
      <c r="P410" s="5">
        <v>78498</v>
      </c>
      <c r="Q410" s="1">
        <f t="shared" si="55"/>
        <v>0.542941921025875</v>
      </c>
      <c r="S410" s="4">
        <f t="shared" si="48"/>
        <v>1.05896338563956</v>
      </c>
      <c r="T410" s="4">
        <f t="shared" si="49"/>
        <v>1.39886934673367</v>
      </c>
      <c r="U410" s="4">
        <f t="shared" si="50"/>
        <v>1.16050026055237</v>
      </c>
      <c r="V410" s="4">
        <f t="shared" si="51"/>
        <v>1.42939666238768</v>
      </c>
      <c r="W410" s="4">
        <f t="shared" si="52"/>
        <v>1.18268720127456</v>
      </c>
    </row>
    <row r="411" spans="1:23">
      <c r="A411" s="5" t="s">
        <v>428</v>
      </c>
      <c r="B411" s="5">
        <v>10605</v>
      </c>
      <c r="C411" s="5">
        <v>10605</v>
      </c>
      <c r="D411" s="5">
        <v>144579</v>
      </c>
      <c r="E411" s="5">
        <v>2.227</v>
      </c>
      <c r="F411" s="5">
        <v>2.087</v>
      </c>
      <c r="G411" s="5">
        <v>1.598</v>
      </c>
      <c r="H411" s="5">
        <v>1.918</v>
      </c>
      <c r="I411" s="5">
        <v>1.57</v>
      </c>
      <c r="J411" s="5">
        <v>1.88</v>
      </c>
      <c r="K411" s="5">
        <v>144579</v>
      </c>
      <c r="L411" s="5">
        <v>145088</v>
      </c>
      <c r="M411" s="6">
        <f t="shared" si="53"/>
        <v>1.00352056661064</v>
      </c>
      <c r="N411" s="5">
        <v>251572</v>
      </c>
      <c r="O411" s="6">
        <f t="shared" si="54"/>
        <v>1.74003140151751</v>
      </c>
      <c r="P411" s="5">
        <v>78498</v>
      </c>
      <c r="Q411" s="1">
        <f t="shared" si="55"/>
        <v>0.542941921025875</v>
      </c>
      <c r="S411" s="4">
        <f t="shared" si="48"/>
        <v>1.067081935793</v>
      </c>
      <c r="T411" s="4">
        <f t="shared" si="49"/>
        <v>1.3936170212766</v>
      </c>
      <c r="U411" s="4">
        <f t="shared" si="50"/>
        <v>1.16110531803962</v>
      </c>
      <c r="V411" s="4">
        <f t="shared" si="51"/>
        <v>1.41847133757962</v>
      </c>
      <c r="W411" s="4">
        <f t="shared" si="52"/>
        <v>1.18457446808511</v>
      </c>
    </row>
    <row r="412" spans="1:23">
      <c r="A412" s="5" t="s">
        <v>429</v>
      </c>
      <c r="B412" s="5">
        <v>152078</v>
      </c>
      <c r="C412" s="5">
        <v>152078</v>
      </c>
      <c r="D412" s="5">
        <v>6459326</v>
      </c>
      <c r="E412" s="5">
        <v>131.582</v>
      </c>
      <c r="F412" s="5">
        <v>117.02</v>
      </c>
      <c r="G412" s="5">
        <v>107.864</v>
      </c>
      <c r="H412" s="5">
        <v>87.431</v>
      </c>
      <c r="I412" s="5">
        <v>77.198</v>
      </c>
      <c r="J412" s="5">
        <v>73.801</v>
      </c>
      <c r="K412" s="5">
        <v>6459326</v>
      </c>
      <c r="L412" s="5">
        <v>6480700</v>
      </c>
      <c r="M412" s="6">
        <f t="shared" si="53"/>
        <v>1.00330901397452</v>
      </c>
      <c r="N412" s="5">
        <v>9369988</v>
      </c>
      <c r="O412" s="6">
        <f t="shared" si="54"/>
        <v>1.45061388757898</v>
      </c>
      <c r="P412" s="5">
        <v>3382870</v>
      </c>
      <c r="Q412" s="1">
        <f t="shared" si="55"/>
        <v>0.523718728548458</v>
      </c>
      <c r="S412" s="4">
        <f t="shared" si="48"/>
        <v>1.12444026662109</v>
      </c>
      <c r="T412" s="4">
        <f t="shared" si="49"/>
        <v>1.21988800712008</v>
      </c>
      <c r="U412" s="4">
        <f t="shared" si="50"/>
        <v>1.50498107078725</v>
      </c>
      <c r="V412" s="4">
        <f t="shared" si="51"/>
        <v>1.7044742091764</v>
      </c>
      <c r="W412" s="4">
        <f t="shared" si="52"/>
        <v>1.78292977059931</v>
      </c>
    </row>
    <row r="413" spans="1:23">
      <c r="A413" s="5" t="s">
        <v>430</v>
      </c>
      <c r="B413" s="5">
        <v>181302</v>
      </c>
      <c r="C413" s="5">
        <v>181302</v>
      </c>
      <c r="D413" s="5">
        <v>7839010</v>
      </c>
      <c r="E413" s="5">
        <v>167.129</v>
      </c>
      <c r="F413" s="5">
        <v>144.589</v>
      </c>
      <c r="G413" s="5">
        <v>131.261</v>
      </c>
      <c r="H413" s="5">
        <v>105.577</v>
      </c>
      <c r="I413" s="5">
        <v>90.217</v>
      </c>
      <c r="J413" s="5">
        <v>90.636</v>
      </c>
      <c r="K413" s="5">
        <v>7839010</v>
      </c>
      <c r="L413" s="5">
        <v>7861944</v>
      </c>
      <c r="M413" s="6">
        <f t="shared" si="53"/>
        <v>1.00292562453677</v>
      </c>
      <c r="N413" s="5">
        <v>11389364</v>
      </c>
      <c r="O413" s="6">
        <f t="shared" si="54"/>
        <v>1.45290846675792</v>
      </c>
      <c r="P413" s="5">
        <v>4101972</v>
      </c>
      <c r="Q413" s="1">
        <f t="shared" si="55"/>
        <v>0.523276791329517</v>
      </c>
      <c r="S413" s="4">
        <f t="shared" si="48"/>
        <v>1.15589014378687</v>
      </c>
      <c r="T413" s="4">
        <f t="shared" si="49"/>
        <v>1.2732570984527</v>
      </c>
      <c r="U413" s="4">
        <f t="shared" si="50"/>
        <v>1.58300576830181</v>
      </c>
      <c r="V413" s="4">
        <f t="shared" si="51"/>
        <v>1.85252225190374</v>
      </c>
      <c r="W413" s="4">
        <f t="shared" si="52"/>
        <v>1.84395825058476</v>
      </c>
    </row>
    <row r="414" spans="1:23">
      <c r="A414" s="5" t="s">
        <v>431</v>
      </c>
      <c r="B414" s="5">
        <v>27623</v>
      </c>
      <c r="C414" s="5">
        <v>27623</v>
      </c>
      <c r="D414" s="5">
        <v>439469</v>
      </c>
      <c r="E414" s="5">
        <v>7.519</v>
      </c>
      <c r="F414" s="5">
        <v>7.631</v>
      </c>
      <c r="G414" s="5">
        <v>5.248</v>
      </c>
      <c r="H414" s="5">
        <v>8.062</v>
      </c>
      <c r="I414" s="5">
        <v>10.053</v>
      </c>
      <c r="J414" s="5">
        <v>6.921</v>
      </c>
      <c r="K414" s="5">
        <v>439469</v>
      </c>
      <c r="L414" s="5">
        <v>440920</v>
      </c>
      <c r="M414" s="6">
        <f t="shared" si="53"/>
        <v>1.00330171183861</v>
      </c>
      <c r="N414" s="5">
        <v>983360</v>
      </c>
      <c r="O414" s="6">
        <f t="shared" si="54"/>
        <v>2.23760947871181</v>
      </c>
      <c r="P414" s="5">
        <v>314352</v>
      </c>
      <c r="Q414" s="1">
        <f t="shared" si="55"/>
        <v>0.715299600199331</v>
      </c>
      <c r="S414" s="4">
        <f t="shared" si="48"/>
        <v>0.985323024505307</v>
      </c>
      <c r="T414" s="4">
        <f t="shared" si="49"/>
        <v>1.4327362804878</v>
      </c>
      <c r="U414" s="4">
        <f t="shared" si="50"/>
        <v>0.932646985859588</v>
      </c>
      <c r="V414" s="4">
        <f t="shared" si="51"/>
        <v>0.747935939520541</v>
      </c>
      <c r="W414" s="4">
        <f t="shared" si="52"/>
        <v>1.08640369888744</v>
      </c>
    </row>
    <row r="415" spans="1:23">
      <c r="A415" s="5" t="s">
        <v>432</v>
      </c>
      <c r="B415" s="5">
        <v>82654</v>
      </c>
      <c r="C415" s="5">
        <v>82654</v>
      </c>
      <c r="D415" s="5">
        <v>574458</v>
      </c>
      <c r="E415" s="5">
        <v>12.336</v>
      </c>
      <c r="F415" s="5">
        <v>14.339</v>
      </c>
      <c r="G415" s="5">
        <v>8.064</v>
      </c>
      <c r="H415" s="5">
        <v>15.508</v>
      </c>
      <c r="I415" s="5">
        <v>18.737</v>
      </c>
      <c r="J415" s="5">
        <v>12.986</v>
      </c>
      <c r="K415" s="5">
        <v>574458</v>
      </c>
      <c r="L415" s="5">
        <v>575848</v>
      </c>
      <c r="M415" s="6">
        <f t="shared" si="53"/>
        <v>1.00241967210832</v>
      </c>
      <c r="N415" s="5">
        <v>1492500</v>
      </c>
      <c r="O415" s="6">
        <f t="shared" si="54"/>
        <v>2.59810116666493</v>
      </c>
      <c r="P415" s="5">
        <v>461074</v>
      </c>
      <c r="Q415" s="1">
        <f t="shared" si="55"/>
        <v>0.802624386813309</v>
      </c>
      <c r="S415" s="4">
        <f t="shared" si="48"/>
        <v>0.860311039821466</v>
      </c>
      <c r="T415" s="4">
        <f t="shared" si="49"/>
        <v>1.5297619047619</v>
      </c>
      <c r="U415" s="4">
        <f t="shared" si="50"/>
        <v>0.795460407531597</v>
      </c>
      <c r="V415" s="4">
        <f t="shared" si="51"/>
        <v>0.658376474355553</v>
      </c>
      <c r="W415" s="4">
        <f t="shared" si="52"/>
        <v>0.949946095795472</v>
      </c>
    </row>
    <row r="416" spans="1:23">
      <c r="A416" s="5" t="s">
        <v>433</v>
      </c>
      <c r="B416" s="5">
        <v>1228045</v>
      </c>
      <c r="C416" s="5">
        <v>1228045</v>
      </c>
      <c r="D416" s="5">
        <v>8580313</v>
      </c>
      <c r="E416" s="5">
        <v>244.372</v>
      </c>
      <c r="F416" s="5">
        <v>308.012</v>
      </c>
      <c r="G416" s="5">
        <v>187.676</v>
      </c>
      <c r="H416" s="5">
        <v>330.693</v>
      </c>
      <c r="I416" s="5">
        <v>364.858</v>
      </c>
      <c r="J416" s="5">
        <v>229.632</v>
      </c>
      <c r="K416" s="5">
        <v>8580313</v>
      </c>
      <c r="L416" s="5">
        <v>8598816</v>
      </c>
      <c r="M416" s="6">
        <f t="shared" si="53"/>
        <v>1.0021564481389</v>
      </c>
      <c r="N416" s="5">
        <v>23156228</v>
      </c>
      <c r="O416" s="6">
        <f t="shared" si="54"/>
        <v>2.6987626208974</v>
      </c>
      <c r="P416" s="5">
        <v>6972046</v>
      </c>
      <c r="Q416" s="1">
        <f t="shared" si="55"/>
        <v>0.812563131438212</v>
      </c>
      <c r="S416" s="4">
        <f t="shared" si="48"/>
        <v>0.793384673324416</v>
      </c>
      <c r="T416" s="4">
        <f t="shared" si="49"/>
        <v>1.30209510006607</v>
      </c>
      <c r="U416" s="4">
        <f t="shared" si="50"/>
        <v>0.738969376430708</v>
      </c>
      <c r="V416" s="4">
        <f t="shared" si="51"/>
        <v>0.669772897949339</v>
      </c>
      <c r="W416" s="4">
        <f t="shared" si="52"/>
        <v>1.0641896599777</v>
      </c>
    </row>
    <row r="417" spans="1:23">
      <c r="A417" s="5" t="s">
        <v>434</v>
      </c>
      <c r="B417" s="5">
        <v>204316</v>
      </c>
      <c r="C417" s="5">
        <v>204316</v>
      </c>
      <c r="D417" s="5">
        <v>1423116</v>
      </c>
      <c r="E417" s="5">
        <v>40.443</v>
      </c>
      <c r="F417" s="5">
        <v>46.647</v>
      </c>
      <c r="G417" s="5">
        <v>37.223</v>
      </c>
      <c r="H417" s="5">
        <v>67.28</v>
      </c>
      <c r="I417" s="5">
        <v>38.592</v>
      </c>
      <c r="J417" s="5">
        <v>39.643</v>
      </c>
      <c r="K417" s="5">
        <v>1423116</v>
      </c>
      <c r="L417" s="5">
        <v>1424648</v>
      </c>
      <c r="M417" s="6">
        <f t="shared" si="53"/>
        <v>1.00107651098013</v>
      </c>
      <c r="N417" s="5">
        <v>5653080</v>
      </c>
      <c r="O417" s="6">
        <f t="shared" si="54"/>
        <v>3.97232551668311</v>
      </c>
      <c r="P417" s="5">
        <v>813716</v>
      </c>
      <c r="Q417" s="1">
        <f t="shared" si="55"/>
        <v>0.571784731532777</v>
      </c>
      <c r="S417" s="4">
        <f t="shared" si="48"/>
        <v>0.867001093317898</v>
      </c>
      <c r="T417" s="4">
        <f t="shared" si="49"/>
        <v>1.08650565510571</v>
      </c>
      <c r="U417" s="4">
        <f t="shared" si="50"/>
        <v>0.601114744351962</v>
      </c>
      <c r="V417" s="4">
        <f t="shared" si="51"/>
        <v>1.04796330845771</v>
      </c>
      <c r="W417" s="4">
        <f t="shared" si="52"/>
        <v>1.02018010745907</v>
      </c>
    </row>
    <row r="418" spans="1:23">
      <c r="A418" s="5" t="s">
        <v>435</v>
      </c>
      <c r="B418" s="5">
        <v>102158</v>
      </c>
      <c r="C418" s="5">
        <v>102158</v>
      </c>
      <c r="D418" s="5">
        <v>711558</v>
      </c>
      <c r="E418" s="5">
        <v>17.42</v>
      </c>
      <c r="F418" s="5">
        <v>20.387</v>
      </c>
      <c r="G418" s="5">
        <v>13.117</v>
      </c>
      <c r="H418" s="5">
        <v>28.769</v>
      </c>
      <c r="I418" s="5">
        <v>27.65</v>
      </c>
      <c r="J418" s="5">
        <v>16.542</v>
      </c>
      <c r="K418" s="5">
        <v>711558</v>
      </c>
      <c r="L418" s="5">
        <v>712700</v>
      </c>
      <c r="M418" s="6">
        <f t="shared" si="53"/>
        <v>1.00160492890249</v>
      </c>
      <c r="N418" s="5">
        <v>2809656</v>
      </c>
      <c r="O418" s="6">
        <f t="shared" si="54"/>
        <v>3.94859730338216</v>
      </c>
      <c r="P418" s="5">
        <v>705654</v>
      </c>
      <c r="Q418" s="1">
        <f t="shared" si="55"/>
        <v>0.991702714325466</v>
      </c>
      <c r="S418" s="4">
        <f t="shared" si="48"/>
        <v>0.854466081326336</v>
      </c>
      <c r="T418" s="4">
        <f t="shared" si="49"/>
        <v>1.32804757185332</v>
      </c>
      <c r="U418" s="4">
        <f t="shared" si="50"/>
        <v>0.605512878445549</v>
      </c>
      <c r="V418" s="4">
        <f t="shared" si="51"/>
        <v>0.63001808318264</v>
      </c>
      <c r="W418" s="4">
        <f t="shared" si="52"/>
        <v>1.05307701608028</v>
      </c>
    </row>
    <row r="419" spans="1:23">
      <c r="A419" s="5" t="s">
        <v>436</v>
      </c>
      <c r="B419" s="5">
        <v>102158</v>
      </c>
      <c r="C419" s="5">
        <v>102158</v>
      </c>
      <c r="D419" s="5">
        <v>711558</v>
      </c>
      <c r="E419" s="5">
        <v>17.186</v>
      </c>
      <c r="F419" s="5">
        <v>20.315</v>
      </c>
      <c r="G419" s="5">
        <v>13.168</v>
      </c>
      <c r="H419" s="5">
        <v>28.625</v>
      </c>
      <c r="I419" s="5">
        <v>27.536</v>
      </c>
      <c r="J419" s="5">
        <v>16.672</v>
      </c>
      <c r="K419" s="5">
        <v>711558</v>
      </c>
      <c r="L419" s="5">
        <v>712700</v>
      </c>
      <c r="M419" s="6">
        <f t="shared" si="53"/>
        <v>1.00160492890249</v>
      </c>
      <c r="N419" s="5">
        <v>2809656</v>
      </c>
      <c r="O419" s="6">
        <f t="shared" si="54"/>
        <v>3.94859730338216</v>
      </c>
      <c r="P419" s="5">
        <v>705654</v>
      </c>
      <c r="Q419" s="1">
        <f t="shared" si="55"/>
        <v>0.991702714325466</v>
      </c>
      <c r="S419" s="4">
        <f t="shared" si="48"/>
        <v>0.845975879891706</v>
      </c>
      <c r="T419" s="4">
        <f t="shared" si="49"/>
        <v>1.30513365735115</v>
      </c>
      <c r="U419" s="4">
        <f t="shared" si="50"/>
        <v>0.600384279475982</v>
      </c>
      <c r="V419" s="4">
        <f t="shared" si="51"/>
        <v>0.624128413712958</v>
      </c>
      <c r="W419" s="4">
        <f t="shared" si="52"/>
        <v>1.03083013435701</v>
      </c>
    </row>
    <row r="420" spans="1:23">
      <c r="A420" s="5" t="s">
        <v>437</v>
      </c>
      <c r="B420" s="5">
        <v>29736</v>
      </c>
      <c r="C420" s="5">
        <v>29736</v>
      </c>
      <c r="D420" s="5">
        <v>4470048</v>
      </c>
      <c r="E420" s="5">
        <v>84.535</v>
      </c>
      <c r="F420" s="5">
        <v>68.523</v>
      </c>
      <c r="G420" s="5">
        <v>69.037</v>
      </c>
      <c r="H420" s="5">
        <v>40.114</v>
      </c>
      <c r="I420" s="5">
        <v>38.283</v>
      </c>
      <c r="J420" s="5">
        <v>44.923</v>
      </c>
      <c r="K420" s="5">
        <v>4470048</v>
      </c>
      <c r="L420" s="5">
        <v>4484016</v>
      </c>
      <c r="M420" s="6">
        <f t="shared" si="53"/>
        <v>1.00312479865988</v>
      </c>
      <c r="N420" s="5">
        <v>5409744</v>
      </c>
      <c r="O420" s="6">
        <f t="shared" si="54"/>
        <v>1.21022056138994</v>
      </c>
      <c r="P420" s="5">
        <v>2297734</v>
      </c>
      <c r="Q420" s="1">
        <f t="shared" si="55"/>
        <v>0.514028932127798</v>
      </c>
      <c r="S420" s="4">
        <f t="shared" si="48"/>
        <v>1.23367336514747</v>
      </c>
      <c r="T420" s="4">
        <f t="shared" si="49"/>
        <v>1.22448831785854</v>
      </c>
      <c r="U420" s="4">
        <f t="shared" si="50"/>
        <v>2.10736899835469</v>
      </c>
      <c r="V420" s="4">
        <f t="shared" si="51"/>
        <v>2.20816028001985</v>
      </c>
      <c r="W420" s="4">
        <f t="shared" si="52"/>
        <v>1.88177548249226</v>
      </c>
    </row>
    <row r="421" spans="1:23">
      <c r="A421" s="5" t="s">
        <v>438</v>
      </c>
      <c r="B421" s="5">
        <v>726713</v>
      </c>
      <c r="C421" s="5">
        <v>726713</v>
      </c>
      <c r="D421" s="5">
        <v>5080961</v>
      </c>
      <c r="E421" s="5">
        <v>136.113</v>
      </c>
      <c r="F421" s="5">
        <v>150.211</v>
      </c>
      <c r="G421" s="5">
        <v>93.811</v>
      </c>
      <c r="H421" s="5">
        <v>121.215</v>
      </c>
      <c r="I421" s="5">
        <v>128.789</v>
      </c>
      <c r="J421" s="5">
        <v>124.926</v>
      </c>
      <c r="K421" s="5">
        <v>5080961</v>
      </c>
      <c r="L421" s="5">
        <v>5090252</v>
      </c>
      <c r="M421" s="6">
        <f t="shared" si="53"/>
        <v>1.00182859108739</v>
      </c>
      <c r="N421" s="5">
        <v>8709944</v>
      </c>
      <c r="O421" s="6">
        <f t="shared" si="54"/>
        <v>1.71423161878235</v>
      </c>
      <c r="P421" s="5">
        <v>3176690</v>
      </c>
      <c r="Q421" s="1">
        <f t="shared" si="55"/>
        <v>0.625214403338266</v>
      </c>
      <c r="S421" s="4">
        <f t="shared" si="48"/>
        <v>0.906145355533217</v>
      </c>
      <c r="T421" s="4">
        <f t="shared" si="49"/>
        <v>1.4509279295605</v>
      </c>
      <c r="U421" s="4">
        <f t="shared" si="50"/>
        <v>1.12290558099245</v>
      </c>
      <c r="V421" s="4">
        <f t="shared" si="51"/>
        <v>1.0568682107944</v>
      </c>
      <c r="W421" s="4">
        <f t="shared" si="52"/>
        <v>1.08954901301571</v>
      </c>
    </row>
    <row r="422" spans="1:23">
      <c r="A422" s="5" t="s">
        <v>439</v>
      </c>
      <c r="B422" s="5">
        <v>40000</v>
      </c>
      <c r="C422" s="5">
        <v>40000</v>
      </c>
      <c r="D422" s="5">
        <v>197608</v>
      </c>
      <c r="E422" s="5">
        <v>3.654</v>
      </c>
      <c r="F422" s="5">
        <v>4.554</v>
      </c>
      <c r="G422" s="5">
        <v>2.623</v>
      </c>
      <c r="H422" s="5">
        <v>4.232</v>
      </c>
      <c r="I422" s="5">
        <v>3.854</v>
      </c>
      <c r="J422" s="5">
        <v>3.307</v>
      </c>
      <c r="K422" s="5">
        <v>197608</v>
      </c>
      <c r="L422" s="5">
        <v>197888</v>
      </c>
      <c r="M422" s="6">
        <f t="shared" si="53"/>
        <v>1.00141694668232</v>
      </c>
      <c r="N422" s="5">
        <v>475216</v>
      </c>
      <c r="O422" s="6">
        <f t="shared" si="54"/>
        <v>2.40484190923444</v>
      </c>
      <c r="P422" s="5">
        <v>119400</v>
      </c>
      <c r="Q422" s="1">
        <f t="shared" si="55"/>
        <v>0.604226549532408</v>
      </c>
      <c r="S422" s="4">
        <f t="shared" si="48"/>
        <v>0.802371541501976</v>
      </c>
      <c r="T422" s="4">
        <f t="shared" si="49"/>
        <v>1.39306138009912</v>
      </c>
      <c r="U422" s="4">
        <f t="shared" si="50"/>
        <v>0.863421550094518</v>
      </c>
      <c r="V422" s="4">
        <f t="shared" si="51"/>
        <v>0.948105864037364</v>
      </c>
      <c r="W422" s="4">
        <f t="shared" si="52"/>
        <v>1.10492893861506</v>
      </c>
    </row>
    <row r="423" spans="1:23">
      <c r="A423" s="5" t="s">
        <v>440</v>
      </c>
      <c r="B423" s="5">
        <v>8140</v>
      </c>
      <c r="C423" s="5">
        <v>8140</v>
      </c>
      <c r="D423" s="5">
        <v>2016902</v>
      </c>
      <c r="E423" s="5">
        <v>33.512</v>
      </c>
      <c r="F423" s="5">
        <v>21.868</v>
      </c>
      <c r="G423" s="5">
        <v>23.656</v>
      </c>
      <c r="H423" s="5">
        <v>14.242</v>
      </c>
      <c r="I423" s="5">
        <v>17.415</v>
      </c>
      <c r="J423" s="5">
        <v>18.184</v>
      </c>
      <c r="K423" s="5">
        <v>2016902</v>
      </c>
      <c r="L423" s="5">
        <v>2023128</v>
      </c>
      <c r="M423" s="6">
        <f t="shared" si="53"/>
        <v>1.00308691250244</v>
      </c>
      <c r="N423" s="5">
        <v>2154732</v>
      </c>
      <c r="O423" s="6">
        <f t="shared" si="54"/>
        <v>1.06833747995688</v>
      </c>
      <c r="P423" s="5">
        <v>1022760</v>
      </c>
      <c r="Q423" s="1">
        <f t="shared" si="55"/>
        <v>0.507094544008583</v>
      </c>
      <c r="S423" s="4">
        <f t="shared" si="48"/>
        <v>1.53246753246753</v>
      </c>
      <c r="T423" s="4">
        <f t="shared" si="49"/>
        <v>1.41663848495096</v>
      </c>
      <c r="U423" s="4">
        <f t="shared" si="50"/>
        <v>2.35304030332818</v>
      </c>
      <c r="V423" s="4">
        <f t="shared" si="51"/>
        <v>1.92431811656618</v>
      </c>
      <c r="W423" s="4">
        <f t="shared" si="52"/>
        <v>1.84293884733832</v>
      </c>
    </row>
    <row r="424" spans="1:23">
      <c r="A424" s="5" t="s">
        <v>441</v>
      </c>
      <c r="B424" s="5">
        <v>9774</v>
      </c>
      <c r="C424" s="5">
        <v>9774</v>
      </c>
      <c r="D424" s="5">
        <v>820804</v>
      </c>
      <c r="E424" s="5">
        <v>14.563</v>
      </c>
      <c r="F424" s="5">
        <v>10.48</v>
      </c>
      <c r="G424" s="5">
        <v>9.603</v>
      </c>
      <c r="H424" s="5">
        <v>5.953</v>
      </c>
      <c r="I424" s="5">
        <v>6.462</v>
      </c>
      <c r="J424" s="5">
        <v>8.005</v>
      </c>
      <c r="K424" s="5">
        <v>820804</v>
      </c>
      <c r="L424" s="5">
        <v>833984</v>
      </c>
      <c r="M424" s="6">
        <f t="shared" si="53"/>
        <v>1.01605742662073</v>
      </c>
      <c r="N424" s="5">
        <v>917712</v>
      </c>
      <c r="O424" s="6">
        <f t="shared" si="54"/>
        <v>1.11806472678008</v>
      </c>
      <c r="P424" s="5">
        <v>420034</v>
      </c>
      <c r="Q424" s="1">
        <f t="shared" si="55"/>
        <v>0.511734835600216</v>
      </c>
      <c r="S424" s="4">
        <f t="shared" si="48"/>
        <v>1.38959923664122</v>
      </c>
      <c r="T424" s="4">
        <f t="shared" si="49"/>
        <v>1.5165052587733</v>
      </c>
      <c r="U424" s="4">
        <f t="shared" si="50"/>
        <v>2.4463295817235</v>
      </c>
      <c r="V424" s="4">
        <f t="shared" si="51"/>
        <v>2.25363664500155</v>
      </c>
      <c r="W424" s="4">
        <f t="shared" si="52"/>
        <v>1.81923797626483</v>
      </c>
    </row>
    <row r="425" spans="1:23">
      <c r="A425" s="5" t="s">
        <v>442</v>
      </c>
      <c r="B425" s="5">
        <v>10798</v>
      </c>
      <c r="C425" s="5">
        <v>10798</v>
      </c>
      <c r="D425" s="5">
        <v>608540</v>
      </c>
      <c r="E425" s="5">
        <v>10.186</v>
      </c>
      <c r="F425" s="5">
        <v>7.758</v>
      </c>
      <c r="G425" s="5">
        <v>7.077</v>
      </c>
      <c r="H425" s="5">
        <v>5.869</v>
      </c>
      <c r="I425" s="5">
        <v>5.152</v>
      </c>
      <c r="J425" s="5">
        <v>7.162</v>
      </c>
      <c r="K425" s="5">
        <v>608540</v>
      </c>
      <c r="L425" s="5">
        <v>623224</v>
      </c>
      <c r="M425" s="6">
        <f t="shared" si="53"/>
        <v>1.02412988464193</v>
      </c>
      <c r="N425" s="5">
        <v>763560</v>
      </c>
      <c r="O425" s="6">
        <f t="shared" si="54"/>
        <v>1.25474085516153</v>
      </c>
      <c r="P425" s="5">
        <v>316834</v>
      </c>
      <c r="Q425" s="1">
        <f t="shared" si="55"/>
        <v>0.520646136654945</v>
      </c>
      <c r="S425" s="4">
        <f t="shared" si="48"/>
        <v>1.31296725960299</v>
      </c>
      <c r="T425" s="4">
        <f t="shared" si="49"/>
        <v>1.4393104422778</v>
      </c>
      <c r="U425" s="4">
        <f t="shared" si="50"/>
        <v>1.73555972056568</v>
      </c>
      <c r="V425" s="4">
        <f t="shared" si="51"/>
        <v>1.97709627329193</v>
      </c>
      <c r="W425" s="4">
        <f t="shared" si="52"/>
        <v>1.42222842781346</v>
      </c>
    </row>
    <row r="426" spans="1:23">
      <c r="A426" s="5" t="s">
        <v>443</v>
      </c>
      <c r="B426" s="5">
        <v>30798</v>
      </c>
      <c r="C426" s="5">
        <v>30798</v>
      </c>
      <c r="D426" s="5">
        <v>1801300</v>
      </c>
      <c r="E426" s="5">
        <v>35.471</v>
      </c>
      <c r="F426" s="5">
        <v>28.991</v>
      </c>
      <c r="G426" s="5">
        <v>21.91</v>
      </c>
      <c r="H426" s="5">
        <v>15.878</v>
      </c>
      <c r="I426" s="5">
        <v>15.604</v>
      </c>
      <c r="J426" s="5">
        <v>20.929</v>
      </c>
      <c r="K426" s="5">
        <v>1801300</v>
      </c>
      <c r="L426" s="5">
        <v>1845208</v>
      </c>
      <c r="M426" s="6">
        <f t="shared" si="53"/>
        <v>1.02437572864043</v>
      </c>
      <c r="N426" s="5">
        <v>2230964</v>
      </c>
      <c r="O426" s="6">
        <f t="shared" si="54"/>
        <v>1.23852995059124</v>
      </c>
      <c r="P426" s="5">
        <v>933356</v>
      </c>
      <c r="Q426" s="1">
        <f t="shared" si="55"/>
        <v>0.518156886692944</v>
      </c>
      <c r="S426" s="4">
        <f t="shared" si="48"/>
        <v>1.22351764340657</v>
      </c>
      <c r="T426" s="4">
        <f t="shared" si="49"/>
        <v>1.61894112277499</v>
      </c>
      <c r="U426" s="4">
        <f t="shared" si="50"/>
        <v>2.23397153293866</v>
      </c>
      <c r="V426" s="4">
        <f t="shared" si="51"/>
        <v>2.27319917969751</v>
      </c>
      <c r="W426" s="4">
        <f t="shared" si="52"/>
        <v>1.69482536193798</v>
      </c>
    </row>
    <row r="427" spans="1:23">
      <c r="A427" s="5" t="s">
        <v>444</v>
      </c>
      <c r="B427" s="5">
        <v>40798</v>
      </c>
      <c r="C427" s="5">
        <v>40798</v>
      </c>
      <c r="D427" s="5">
        <v>2398220</v>
      </c>
      <c r="E427" s="5">
        <v>40.83</v>
      </c>
      <c r="F427" s="5">
        <v>30.291</v>
      </c>
      <c r="G427" s="5">
        <v>42.715</v>
      </c>
      <c r="H427" s="5">
        <v>23.313</v>
      </c>
      <c r="I427" s="5">
        <v>21.532</v>
      </c>
      <c r="J427" s="5">
        <v>27.249</v>
      </c>
      <c r="K427" s="5">
        <v>2398220</v>
      </c>
      <c r="L427" s="5">
        <v>2456852</v>
      </c>
      <c r="M427" s="6">
        <f t="shared" si="53"/>
        <v>1.02444813236484</v>
      </c>
      <c r="N427" s="5">
        <v>2965036</v>
      </c>
      <c r="O427" s="6">
        <f t="shared" si="54"/>
        <v>1.23634862523038</v>
      </c>
      <c r="P427" s="5">
        <v>1241872</v>
      </c>
      <c r="Q427" s="1">
        <f t="shared" si="55"/>
        <v>0.51783072445397</v>
      </c>
      <c r="S427" s="4">
        <f t="shared" si="48"/>
        <v>1.34792512627513</v>
      </c>
      <c r="T427" s="4">
        <f t="shared" si="49"/>
        <v>0.955870303172188</v>
      </c>
      <c r="U427" s="4">
        <f t="shared" si="50"/>
        <v>1.75138334834642</v>
      </c>
      <c r="V427" s="4">
        <f t="shared" si="51"/>
        <v>1.89624744566227</v>
      </c>
      <c r="W427" s="4">
        <f t="shared" si="52"/>
        <v>1.49840361114169</v>
      </c>
    </row>
    <row r="428" spans="1:23">
      <c r="A428" s="5" t="s">
        <v>445</v>
      </c>
      <c r="B428" s="5">
        <v>29214</v>
      </c>
      <c r="C428" s="5">
        <v>29214</v>
      </c>
      <c r="D428" s="5">
        <v>4400122</v>
      </c>
      <c r="E428" s="5">
        <v>82.774</v>
      </c>
      <c r="F428" s="5">
        <v>63.958</v>
      </c>
      <c r="G428" s="5">
        <v>64.54</v>
      </c>
      <c r="H428" s="5">
        <v>33.73</v>
      </c>
      <c r="I428" s="5">
        <v>34.351</v>
      </c>
      <c r="J428" s="5">
        <v>43.713</v>
      </c>
      <c r="K428" s="5">
        <v>4400122</v>
      </c>
      <c r="L428" s="5">
        <v>4441156</v>
      </c>
      <c r="M428" s="6">
        <f t="shared" si="53"/>
        <v>1.00932565051605</v>
      </c>
      <c r="N428" s="5">
        <v>4817364</v>
      </c>
      <c r="O428" s="6">
        <f t="shared" si="54"/>
        <v>1.09482509803137</v>
      </c>
      <c r="P428" s="5">
        <v>2233918</v>
      </c>
      <c r="Q428" s="1">
        <f t="shared" si="55"/>
        <v>0.507694559378126</v>
      </c>
      <c r="S428" s="4">
        <f t="shared" si="48"/>
        <v>1.29419306419838</v>
      </c>
      <c r="T428" s="4">
        <f t="shared" si="49"/>
        <v>1.28252246668733</v>
      </c>
      <c r="U428" s="4">
        <f t="shared" si="50"/>
        <v>2.45401719537504</v>
      </c>
      <c r="V428" s="4">
        <f t="shared" si="51"/>
        <v>2.40965328520276</v>
      </c>
      <c r="W428" s="4">
        <f t="shared" si="52"/>
        <v>1.89357856930433</v>
      </c>
    </row>
    <row r="429" spans="1:23">
      <c r="A429" s="5" t="s">
        <v>446</v>
      </c>
      <c r="B429" s="5">
        <v>29214</v>
      </c>
      <c r="C429" s="5">
        <v>29214</v>
      </c>
      <c r="D429" s="5">
        <v>4400122</v>
      </c>
      <c r="E429" s="5">
        <v>82.905</v>
      </c>
      <c r="F429" s="5">
        <v>63.669</v>
      </c>
      <c r="G429" s="5">
        <v>62.731</v>
      </c>
      <c r="H429" s="5">
        <v>33.29</v>
      </c>
      <c r="I429" s="5">
        <v>34.356</v>
      </c>
      <c r="J429" s="5">
        <v>43.426</v>
      </c>
      <c r="K429" s="5">
        <v>4400122</v>
      </c>
      <c r="L429" s="5">
        <v>4441156</v>
      </c>
      <c r="M429" s="6">
        <f t="shared" si="53"/>
        <v>1.00932565051605</v>
      </c>
      <c r="N429" s="5">
        <v>4817364</v>
      </c>
      <c r="O429" s="6">
        <f t="shared" si="54"/>
        <v>1.09482509803137</v>
      </c>
      <c r="P429" s="5">
        <v>2233918</v>
      </c>
      <c r="Q429" s="1">
        <f t="shared" si="55"/>
        <v>0.507694559378126</v>
      </c>
      <c r="S429" s="4">
        <f t="shared" si="48"/>
        <v>1.30212505300853</v>
      </c>
      <c r="T429" s="4">
        <f t="shared" si="49"/>
        <v>1.32159538346272</v>
      </c>
      <c r="U429" s="4">
        <f t="shared" si="50"/>
        <v>2.49038750375488</v>
      </c>
      <c r="V429" s="4">
        <f t="shared" si="51"/>
        <v>2.41311561299336</v>
      </c>
      <c r="W429" s="4">
        <f t="shared" si="52"/>
        <v>1.9091097499194</v>
      </c>
    </row>
    <row r="430" spans="1:23">
      <c r="A430" s="5" t="s">
        <v>447</v>
      </c>
      <c r="B430" s="5">
        <v>56814</v>
      </c>
      <c r="C430" s="5">
        <v>56814</v>
      </c>
      <c r="D430" s="5">
        <v>8767466</v>
      </c>
      <c r="E430" s="5">
        <v>184.975</v>
      </c>
      <c r="F430" s="5">
        <v>147.491</v>
      </c>
      <c r="G430" s="5">
        <v>195.123</v>
      </c>
      <c r="H430" s="5">
        <v>83.939</v>
      </c>
      <c r="I430" s="5">
        <v>83.598</v>
      </c>
      <c r="J430" s="5">
        <v>92.343</v>
      </c>
      <c r="K430" s="5">
        <v>8767466</v>
      </c>
      <c r="L430" s="5">
        <v>8849592</v>
      </c>
      <c r="M430" s="6">
        <f t="shared" si="53"/>
        <v>1.00936713070801</v>
      </c>
      <c r="N430" s="5">
        <v>9567940</v>
      </c>
      <c r="O430" s="6">
        <f t="shared" si="54"/>
        <v>1.09130049663152</v>
      </c>
      <c r="P430" s="5">
        <v>4447504</v>
      </c>
      <c r="Q430" s="1">
        <f t="shared" si="55"/>
        <v>0.507273595358111</v>
      </c>
      <c r="S430" s="4">
        <f t="shared" si="48"/>
        <v>1.25414432067041</v>
      </c>
      <c r="T430" s="4">
        <f t="shared" si="49"/>
        <v>0.947991779544185</v>
      </c>
      <c r="U430" s="4">
        <f t="shared" si="50"/>
        <v>2.20368362739609</v>
      </c>
      <c r="V430" s="4">
        <f t="shared" si="51"/>
        <v>2.21267255197493</v>
      </c>
      <c r="W430" s="4">
        <f t="shared" si="52"/>
        <v>2.00312963624747</v>
      </c>
    </row>
    <row r="431" spans="1:23">
      <c r="A431" s="5" t="s">
        <v>448</v>
      </c>
      <c r="B431" s="5">
        <v>84414</v>
      </c>
      <c r="C431" s="5">
        <v>84414</v>
      </c>
      <c r="D431" s="5">
        <v>13135930</v>
      </c>
      <c r="E431" s="5">
        <v>254.205</v>
      </c>
      <c r="F431" s="5">
        <v>195.333</v>
      </c>
      <c r="G431" s="5">
        <v>368.342</v>
      </c>
      <c r="H431" s="5">
        <v>178.649</v>
      </c>
      <c r="I431" s="5">
        <v>113.777</v>
      </c>
      <c r="J431" s="5">
        <v>139.246</v>
      </c>
      <c r="K431" s="5">
        <v>13135930</v>
      </c>
      <c r="L431" s="5">
        <v>13260284</v>
      </c>
      <c r="M431" s="6">
        <f t="shared" si="53"/>
        <v>1.00946670696327</v>
      </c>
      <c r="N431" s="5">
        <v>14317248</v>
      </c>
      <c r="O431" s="6">
        <f t="shared" si="54"/>
        <v>1.08993029043242</v>
      </c>
      <c r="P431" s="5">
        <v>6660856</v>
      </c>
      <c r="Q431" s="1">
        <f t="shared" si="55"/>
        <v>0.507071520630819</v>
      </c>
      <c r="S431" s="4">
        <f t="shared" si="48"/>
        <v>1.30139300579011</v>
      </c>
      <c r="T431" s="4">
        <f t="shared" si="49"/>
        <v>0.69013308284149</v>
      </c>
      <c r="U431" s="4">
        <f t="shared" si="50"/>
        <v>1.42292987926045</v>
      </c>
      <c r="V431" s="4">
        <f t="shared" si="51"/>
        <v>2.23423890593002</v>
      </c>
      <c r="W431" s="4">
        <f t="shared" si="52"/>
        <v>1.82558206339859</v>
      </c>
    </row>
    <row r="432" spans="1:23">
      <c r="A432" s="5" t="s">
        <v>449</v>
      </c>
      <c r="B432" s="5">
        <v>76216</v>
      </c>
      <c r="C432" s="5">
        <v>76216</v>
      </c>
      <c r="D432" s="5">
        <v>1977600</v>
      </c>
      <c r="E432" s="5">
        <v>35.083</v>
      </c>
      <c r="F432" s="5">
        <v>29.702</v>
      </c>
      <c r="G432" s="5">
        <v>26.647</v>
      </c>
      <c r="H432" s="5">
        <v>24.113</v>
      </c>
      <c r="I432" s="5">
        <v>21.687</v>
      </c>
      <c r="J432" s="5">
        <v>28.182</v>
      </c>
      <c r="K432" s="5">
        <v>1977600</v>
      </c>
      <c r="L432" s="5">
        <v>2050872</v>
      </c>
      <c r="M432" s="6">
        <f t="shared" si="53"/>
        <v>1.03705097087379</v>
      </c>
      <c r="N432" s="5">
        <v>2891416</v>
      </c>
      <c r="O432" s="6">
        <f t="shared" si="54"/>
        <v>1.46208333333333</v>
      </c>
      <c r="P432" s="5">
        <v>1065226</v>
      </c>
      <c r="Q432" s="1">
        <f t="shared" si="55"/>
        <v>0.538645833333333</v>
      </c>
      <c r="S432" s="4">
        <f t="shared" si="48"/>
        <v>1.18116625143088</v>
      </c>
      <c r="T432" s="4">
        <f t="shared" si="49"/>
        <v>1.31658348031673</v>
      </c>
      <c r="U432" s="4">
        <f t="shared" si="50"/>
        <v>1.45494131796127</v>
      </c>
      <c r="V432" s="4">
        <f t="shared" si="51"/>
        <v>1.61769723797667</v>
      </c>
      <c r="W432" s="4">
        <f t="shared" si="52"/>
        <v>1.24487261372507</v>
      </c>
    </row>
    <row r="433" spans="1:23">
      <c r="A433" s="5" t="s">
        <v>450</v>
      </c>
      <c r="B433" s="5">
        <v>120216</v>
      </c>
      <c r="C433" s="5">
        <v>120216</v>
      </c>
      <c r="D433" s="5">
        <v>3121160</v>
      </c>
      <c r="E433" s="5">
        <v>64.685</v>
      </c>
      <c r="F433" s="5">
        <v>61.463</v>
      </c>
      <c r="G433" s="5">
        <v>59.264</v>
      </c>
      <c r="H433" s="5">
        <v>44.866</v>
      </c>
      <c r="I433" s="5">
        <v>33.547</v>
      </c>
      <c r="J433" s="5">
        <v>46.198</v>
      </c>
      <c r="K433" s="5">
        <v>3121160</v>
      </c>
      <c r="L433" s="5">
        <v>3236804</v>
      </c>
      <c r="M433" s="6">
        <f t="shared" si="53"/>
        <v>1.03705160901716</v>
      </c>
      <c r="N433" s="5">
        <v>4562096</v>
      </c>
      <c r="O433" s="6">
        <f t="shared" si="54"/>
        <v>1.46166681618373</v>
      </c>
      <c r="P433" s="5">
        <v>1681006</v>
      </c>
      <c r="Q433" s="1">
        <f t="shared" si="55"/>
        <v>0.5385837316895</v>
      </c>
      <c r="S433" s="4">
        <f t="shared" si="48"/>
        <v>1.05242178221044</v>
      </c>
      <c r="T433" s="4">
        <f t="shared" si="49"/>
        <v>1.09147205723542</v>
      </c>
      <c r="U433" s="4">
        <f t="shared" si="50"/>
        <v>1.44173761868676</v>
      </c>
      <c r="V433" s="4">
        <f t="shared" si="51"/>
        <v>1.92819030017587</v>
      </c>
      <c r="W433" s="4">
        <f t="shared" si="52"/>
        <v>1.40016883847786</v>
      </c>
    </row>
    <row r="434" spans="1:23">
      <c r="A434" s="5" t="s">
        <v>451</v>
      </c>
      <c r="B434" s="5">
        <v>28216</v>
      </c>
      <c r="C434" s="5">
        <v>28216</v>
      </c>
      <c r="D434" s="5">
        <v>730080</v>
      </c>
      <c r="E434" s="5">
        <v>12.159</v>
      </c>
      <c r="F434" s="5">
        <v>10.522</v>
      </c>
      <c r="G434" s="5">
        <v>9.672</v>
      </c>
      <c r="H434" s="5">
        <v>8.126</v>
      </c>
      <c r="I434" s="5">
        <v>7.279</v>
      </c>
      <c r="J434" s="5">
        <v>10.531</v>
      </c>
      <c r="K434" s="5">
        <v>730080</v>
      </c>
      <c r="L434" s="5">
        <v>757128</v>
      </c>
      <c r="M434" s="6">
        <f t="shared" si="53"/>
        <v>1.0370479947403</v>
      </c>
      <c r="N434" s="5">
        <v>1068856</v>
      </c>
      <c r="O434" s="6">
        <f t="shared" si="54"/>
        <v>1.46402586017971</v>
      </c>
      <c r="P434" s="5">
        <v>393466</v>
      </c>
      <c r="Q434" s="1">
        <f t="shared" si="55"/>
        <v>0.538935459127767</v>
      </c>
      <c r="S434" s="4">
        <f t="shared" si="48"/>
        <v>1.15557878730279</v>
      </c>
      <c r="T434" s="4">
        <f t="shared" si="49"/>
        <v>1.25713399503722</v>
      </c>
      <c r="U434" s="4">
        <f t="shared" si="50"/>
        <v>1.49630814668964</v>
      </c>
      <c r="V434" s="4">
        <f t="shared" si="51"/>
        <v>1.67042176123094</v>
      </c>
      <c r="W434" s="4">
        <f t="shared" si="52"/>
        <v>1.15459120691292</v>
      </c>
    </row>
    <row r="435" spans="1:23">
      <c r="A435" s="5" t="s">
        <v>452</v>
      </c>
      <c r="B435" s="5">
        <v>14454</v>
      </c>
      <c r="C435" s="5">
        <v>14454</v>
      </c>
      <c r="D435" s="5">
        <v>147972</v>
      </c>
      <c r="E435" s="5">
        <v>2.359</v>
      </c>
      <c r="F435" s="5">
        <v>2.322</v>
      </c>
      <c r="G435" s="5">
        <v>1.8</v>
      </c>
      <c r="H435" s="5">
        <v>2.506</v>
      </c>
      <c r="I435" s="5">
        <v>2.068</v>
      </c>
      <c r="J435" s="5">
        <v>2.16</v>
      </c>
      <c r="K435" s="5">
        <v>147972</v>
      </c>
      <c r="L435" s="5">
        <v>156524</v>
      </c>
      <c r="M435" s="6">
        <f t="shared" si="53"/>
        <v>1.05779471791961</v>
      </c>
      <c r="N435" s="5">
        <v>231512</v>
      </c>
      <c r="O435" s="6">
        <f t="shared" si="54"/>
        <v>1.56456626929419</v>
      </c>
      <c r="P435" s="5">
        <v>89132</v>
      </c>
      <c r="Q435" s="1">
        <f t="shared" si="55"/>
        <v>0.602357202714027</v>
      </c>
      <c r="S435" s="4">
        <f t="shared" si="48"/>
        <v>1.01593453919035</v>
      </c>
      <c r="T435" s="4">
        <f t="shared" si="49"/>
        <v>1.31055555555556</v>
      </c>
      <c r="U435" s="4">
        <f t="shared" si="50"/>
        <v>0.941340782122905</v>
      </c>
      <c r="V435" s="4">
        <f t="shared" si="51"/>
        <v>1.14071566731141</v>
      </c>
      <c r="W435" s="4">
        <f t="shared" si="52"/>
        <v>1.09212962962963</v>
      </c>
    </row>
    <row r="436" spans="1:23">
      <c r="A436" s="5" t="s">
        <v>453</v>
      </c>
      <c r="B436" s="5">
        <v>22967</v>
      </c>
      <c r="C436" s="5">
        <v>22967</v>
      </c>
      <c r="D436" s="5">
        <v>87760</v>
      </c>
      <c r="E436" s="5">
        <v>2.239</v>
      </c>
      <c r="F436" s="5">
        <v>1.967</v>
      </c>
      <c r="G436" s="5">
        <v>1.243</v>
      </c>
      <c r="H436" s="5">
        <v>2.904</v>
      </c>
      <c r="I436" s="5">
        <v>2.418</v>
      </c>
      <c r="J436" s="5">
        <v>1.762</v>
      </c>
      <c r="K436" s="5">
        <v>87760</v>
      </c>
      <c r="L436" s="5">
        <v>87788</v>
      </c>
      <c r="M436" s="6">
        <f t="shared" si="53"/>
        <v>1.00031905195989</v>
      </c>
      <c r="N436" s="5">
        <v>233472</v>
      </c>
      <c r="O436" s="6">
        <f t="shared" si="54"/>
        <v>2.66034639927074</v>
      </c>
      <c r="P436" s="5">
        <v>76738</v>
      </c>
      <c r="Q436" s="1">
        <f t="shared" si="55"/>
        <v>0.874407474931632</v>
      </c>
      <c r="S436" s="4">
        <f t="shared" si="48"/>
        <v>1.13828164717844</v>
      </c>
      <c r="T436" s="4">
        <f t="shared" si="49"/>
        <v>1.80128720836685</v>
      </c>
      <c r="U436" s="4">
        <f t="shared" si="50"/>
        <v>0.771005509641873</v>
      </c>
      <c r="V436" s="4">
        <f t="shared" si="51"/>
        <v>0.925971877584781</v>
      </c>
      <c r="W436" s="4">
        <f t="shared" si="52"/>
        <v>1.27071509648127</v>
      </c>
    </row>
    <row r="437" spans="1:23">
      <c r="A437" s="5" t="s">
        <v>454</v>
      </c>
      <c r="B437" s="5">
        <v>12992</v>
      </c>
      <c r="C437" s="5">
        <v>12992</v>
      </c>
      <c r="D437" s="5">
        <v>49365</v>
      </c>
      <c r="E437" s="5">
        <v>1.196</v>
      </c>
      <c r="F437" s="5">
        <v>1.098</v>
      </c>
      <c r="G437" s="5">
        <v>0.642</v>
      </c>
      <c r="H437" s="5">
        <v>1.572</v>
      </c>
      <c r="I437" s="5">
        <v>1.29</v>
      </c>
      <c r="J437" s="5">
        <v>0.893</v>
      </c>
      <c r="K437" s="5">
        <v>49365</v>
      </c>
      <c r="L437" s="5">
        <v>49396</v>
      </c>
      <c r="M437" s="6">
        <f t="shared" si="53"/>
        <v>1.00062797528613</v>
      </c>
      <c r="N437" s="5">
        <v>131328</v>
      </c>
      <c r="O437" s="6">
        <f t="shared" si="54"/>
        <v>2.66034639927074</v>
      </c>
      <c r="P437" s="5">
        <v>43110</v>
      </c>
      <c r="Q437" s="1">
        <f t="shared" si="55"/>
        <v>0.873290793072015</v>
      </c>
      <c r="S437" s="4">
        <f t="shared" si="48"/>
        <v>1.08925318761384</v>
      </c>
      <c r="T437" s="4">
        <f t="shared" si="49"/>
        <v>1.86292834890966</v>
      </c>
      <c r="U437" s="4">
        <f t="shared" si="50"/>
        <v>0.760814249363868</v>
      </c>
      <c r="V437" s="4">
        <f t="shared" si="51"/>
        <v>0.927131782945736</v>
      </c>
      <c r="W437" s="4">
        <f t="shared" si="52"/>
        <v>1.33930571108623</v>
      </c>
    </row>
    <row r="438" spans="1:23">
      <c r="A438" s="5" t="s">
        <v>455</v>
      </c>
      <c r="B438" s="5">
        <v>189924</v>
      </c>
      <c r="C438" s="5">
        <v>189924</v>
      </c>
      <c r="D438" s="5">
        <v>1690876</v>
      </c>
      <c r="E438" s="5">
        <v>33.046</v>
      </c>
      <c r="F438" s="5">
        <v>37.035</v>
      </c>
      <c r="G438" s="5">
        <v>24.713</v>
      </c>
      <c r="H438" s="5">
        <v>36.635</v>
      </c>
      <c r="I438" s="5">
        <v>36.848</v>
      </c>
      <c r="J438" s="5">
        <v>32.481</v>
      </c>
      <c r="K438" s="5">
        <v>1690876</v>
      </c>
      <c r="L438" s="5">
        <v>1692664</v>
      </c>
      <c r="M438" s="6">
        <f t="shared" si="53"/>
        <v>1.00105744004883</v>
      </c>
      <c r="N438" s="5">
        <v>3922084</v>
      </c>
      <c r="O438" s="6">
        <f t="shared" si="54"/>
        <v>2.31955743650037</v>
      </c>
      <c r="P438" s="5">
        <v>1298798</v>
      </c>
      <c r="Q438" s="1">
        <f t="shared" si="55"/>
        <v>0.768121376138759</v>
      </c>
      <c r="S438" s="4">
        <f t="shared" si="48"/>
        <v>0.892291076009181</v>
      </c>
      <c r="T438" s="4">
        <f t="shared" si="49"/>
        <v>1.33719095213046</v>
      </c>
      <c r="U438" s="4">
        <f t="shared" si="50"/>
        <v>0.902033574450662</v>
      </c>
      <c r="V438" s="4">
        <f t="shared" si="51"/>
        <v>0.89681936604429</v>
      </c>
      <c r="W438" s="4">
        <f t="shared" si="52"/>
        <v>1.01739478464333</v>
      </c>
    </row>
    <row r="439" spans="1:23">
      <c r="A439" s="5" t="s">
        <v>456</v>
      </c>
      <c r="B439" s="5">
        <v>11000</v>
      </c>
      <c r="C439" s="5">
        <v>11000</v>
      </c>
      <c r="D439" s="5">
        <v>81112</v>
      </c>
      <c r="E439" s="5">
        <v>1.789</v>
      </c>
      <c r="F439" s="5">
        <v>1.978</v>
      </c>
      <c r="G439" s="5">
        <v>1.009</v>
      </c>
      <c r="H439" s="5">
        <v>2.57</v>
      </c>
      <c r="I439" s="5">
        <v>2.861</v>
      </c>
      <c r="J439" s="5">
        <v>1.803</v>
      </c>
      <c r="K439" s="5">
        <v>81112</v>
      </c>
      <c r="L439" s="5">
        <v>81756</v>
      </c>
      <c r="M439" s="6">
        <f t="shared" si="53"/>
        <v>1.00793963901765</v>
      </c>
      <c r="N439" s="5">
        <v>314488</v>
      </c>
      <c r="O439" s="6">
        <f t="shared" si="54"/>
        <v>3.87720682513068</v>
      </c>
      <c r="P439" s="5">
        <v>89770</v>
      </c>
      <c r="Q439" s="1">
        <f t="shared" si="55"/>
        <v>1.1067412959858</v>
      </c>
      <c r="S439" s="4">
        <f t="shared" si="48"/>
        <v>0.904448938321537</v>
      </c>
      <c r="T439" s="4">
        <f t="shared" si="49"/>
        <v>1.77304261645193</v>
      </c>
      <c r="U439" s="4">
        <f t="shared" si="50"/>
        <v>0.696108949416342</v>
      </c>
      <c r="V439" s="4">
        <f t="shared" si="51"/>
        <v>0.625305837119888</v>
      </c>
      <c r="W439" s="4">
        <f t="shared" si="52"/>
        <v>0.992235163616195</v>
      </c>
    </row>
    <row r="440" spans="1:23">
      <c r="A440" s="5" t="s">
        <v>457</v>
      </c>
      <c r="B440" s="5">
        <v>47072</v>
      </c>
      <c r="C440" s="5">
        <v>47072</v>
      </c>
      <c r="D440" s="5">
        <v>2336898</v>
      </c>
      <c r="E440" s="5">
        <v>42.738</v>
      </c>
      <c r="F440" s="5">
        <v>34.464</v>
      </c>
      <c r="G440" s="5">
        <v>39.295</v>
      </c>
      <c r="H440" s="5">
        <v>21.756</v>
      </c>
      <c r="I440" s="5">
        <v>25.652</v>
      </c>
      <c r="J440" s="5">
        <v>26.851</v>
      </c>
      <c r="K440" s="5">
        <v>2336898</v>
      </c>
      <c r="L440" s="5">
        <v>2350476</v>
      </c>
      <c r="M440" s="6">
        <f t="shared" si="53"/>
        <v>1.00581026643011</v>
      </c>
      <c r="N440" s="5">
        <v>2786788</v>
      </c>
      <c r="O440" s="6">
        <f t="shared" si="54"/>
        <v>1.19251589072351</v>
      </c>
      <c r="P440" s="5">
        <v>1225218</v>
      </c>
      <c r="Q440" s="1">
        <f t="shared" si="55"/>
        <v>0.524292459491172</v>
      </c>
      <c r="S440" s="4">
        <f t="shared" si="48"/>
        <v>1.24007660167131</v>
      </c>
      <c r="T440" s="4">
        <f t="shared" si="49"/>
        <v>1.087619289986</v>
      </c>
      <c r="U440" s="4">
        <f t="shared" si="50"/>
        <v>1.96442360728075</v>
      </c>
      <c r="V440" s="4">
        <f t="shared" si="51"/>
        <v>1.66606892250117</v>
      </c>
      <c r="W440" s="4">
        <f t="shared" si="52"/>
        <v>1.59167256340546</v>
      </c>
    </row>
    <row r="441" spans="1:23">
      <c r="A441" s="5" t="s">
        <v>458</v>
      </c>
      <c r="B441" s="5">
        <v>12328</v>
      </c>
      <c r="C441" s="5">
        <v>12328</v>
      </c>
      <c r="D441" s="5">
        <v>342828</v>
      </c>
      <c r="E441" s="5">
        <v>5.583</v>
      </c>
      <c r="F441" s="5">
        <v>4.91</v>
      </c>
      <c r="G441" s="5">
        <v>3.983</v>
      </c>
      <c r="H441" s="5">
        <v>5.8</v>
      </c>
      <c r="I441" s="5">
        <v>4.187</v>
      </c>
      <c r="J441" s="5">
        <v>4.399</v>
      </c>
      <c r="K441" s="5">
        <v>342828</v>
      </c>
      <c r="L441" s="5">
        <v>344412</v>
      </c>
      <c r="M441" s="6">
        <f t="shared" si="53"/>
        <v>1.00462039273338</v>
      </c>
      <c r="N441" s="5">
        <v>833840</v>
      </c>
      <c r="O441" s="6">
        <f t="shared" si="54"/>
        <v>2.4322400737396</v>
      </c>
      <c r="P441" s="5">
        <v>208870</v>
      </c>
      <c r="Q441" s="1">
        <f t="shared" si="55"/>
        <v>0.609255953422708</v>
      </c>
      <c r="S441" s="4">
        <f t="shared" si="48"/>
        <v>1.13706720977597</v>
      </c>
      <c r="T441" s="4">
        <f t="shared" si="49"/>
        <v>1.40170725583731</v>
      </c>
      <c r="U441" s="4">
        <f t="shared" si="50"/>
        <v>0.962586206896552</v>
      </c>
      <c r="V441" s="4">
        <f t="shared" si="51"/>
        <v>1.33341294482923</v>
      </c>
      <c r="W441" s="4">
        <f t="shared" si="52"/>
        <v>1.26915208001819</v>
      </c>
    </row>
    <row r="442" spans="1:23">
      <c r="A442" s="5" t="s">
        <v>459</v>
      </c>
      <c r="B442" s="5">
        <v>30401</v>
      </c>
      <c r="C442" s="5">
        <v>30401</v>
      </c>
      <c r="D442" s="5">
        <v>471601</v>
      </c>
      <c r="E442" s="5">
        <v>7.777</v>
      </c>
      <c r="F442" s="5">
        <v>7.742</v>
      </c>
      <c r="G442" s="5">
        <v>5.697</v>
      </c>
      <c r="H442" s="5">
        <v>5.658</v>
      </c>
      <c r="I442" s="5">
        <v>5.969</v>
      </c>
      <c r="J442" s="5">
        <v>6.737</v>
      </c>
      <c r="K442" s="5">
        <v>471601</v>
      </c>
      <c r="L442" s="5">
        <v>472600</v>
      </c>
      <c r="M442" s="6">
        <f t="shared" si="53"/>
        <v>1.00211831611892</v>
      </c>
      <c r="N442" s="5">
        <v>722400</v>
      </c>
      <c r="O442" s="6">
        <f t="shared" si="54"/>
        <v>1.53180336767734</v>
      </c>
      <c r="P442" s="5">
        <v>281200</v>
      </c>
      <c r="Q442" s="1">
        <f t="shared" si="55"/>
        <v>0.596266759400425</v>
      </c>
      <c r="S442" s="4">
        <f t="shared" si="48"/>
        <v>1.00452079566004</v>
      </c>
      <c r="T442" s="4">
        <f t="shared" si="49"/>
        <v>1.36510444093382</v>
      </c>
      <c r="U442" s="4">
        <f t="shared" si="50"/>
        <v>1.37451396253093</v>
      </c>
      <c r="V442" s="4">
        <f t="shared" si="51"/>
        <v>1.30289830792428</v>
      </c>
      <c r="W442" s="4">
        <f t="shared" si="52"/>
        <v>1.15437138192074</v>
      </c>
    </row>
    <row r="443" spans="1:23">
      <c r="A443" s="5" t="s">
        <v>460</v>
      </c>
      <c r="B443" s="5">
        <v>36441</v>
      </c>
      <c r="C443" s="5">
        <v>36441</v>
      </c>
      <c r="D443" s="5">
        <v>565761</v>
      </c>
      <c r="E443" s="5">
        <v>9.973</v>
      </c>
      <c r="F443" s="5">
        <v>9.919</v>
      </c>
      <c r="G443" s="5">
        <v>6.595</v>
      </c>
      <c r="H443" s="5">
        <v>6.746</v>
      </c>
      <c r="I443" s="5">
        <v>7.207</v>
      </c>
      <c r="J443" s="5">
        <v>7.804</v>
      </c>
      <c r="K443" s="5">
        <v>565761</v>
      </c>
      <c r="L443" s="5">
        <v>566956</v>
      </c>
      <c r="M443" s="6">
        <f t="shared" si="53"/>
        <v>1.00211219932091</v>
      </c>
      <c r="N443" s="5">
        <v>866640</v>
      </c>
      <c r="O443" s="6">
        <f t="shared" si="54"/>
        <v>1.53181290332844</v>
      </c>
      <c r="P443" s="5">
        <v>337320</v>
      </c>
      <c r="Q443" s="1">
        <f t="shared" si="55"/>
        <v>0.596223493666053</v>
      </c>
      <c r="S443" s="4">
        <f t="shared" si="48"/>
        <v>1.00544409718722</v>
      </c>
      <c r="T443" s="4">
        <f t="shared" si="49"/>
        <v>1.51220621683093</v>
      </c>
      <c r="U443" s="4">
        <f t="shared" si="50"/>
        <v>1.47835754521198</v>
      </c>
      <c r="V443" s="4">
        <f t="shared" si="51"/>
        <v>1.3837935340641</v>
      </c>
      <c r="W443" s="4">
        <f t="shared" si="52"/>
        <v>1.27793439261917</v>
      </c>
    </row>
    <row r="444" spans="1:23">
      <c r="A444" s="5" t="s">
        <v>461</v>
      </c>
      <c r="B444" s="5">
        <v>20055</v>
      </c>
      <c r="C444" s="5">
        <v>20055</v>
      </c>
      <c r="D444" s="5">
        <v>240826</v>
      </c>
      <c r="E444" s="5">
        <v>4.4</v>
      </c>
      <c r="F444" s="5">
        <v>4.725</v>
      </c>
      <c r="G444" s="5">
        <v>2.971</v>
      </c>
      <c r="H444" s="5">
        <v>6.732</v>
      </c>
      <c r="I444" s="5">
        <v>7.173</v>
      </c>
      <c r="J444" s="5">
        <v>4.365</v>
      </c>
      <c r="K444" s="5">
        <v>240826</v>
      </c>
      <c r="L444" s="5">
        <v>241312</v>
      </c>
      <c r="M444" s="6">
        <f t="shared" si="53"/>
        <v>1.002018054529</v>
      </c>
      <c r="N444" s="5">
        <v>834840</v>
      </c>
      <c r="O444" s="6">
        <f t="shared" si="54"/>
        <v>3.4665692242532</v>
      </c>
      <c r="P444" s="5">
        <v>240152</v>
      </c>
      <c r="Q444" s="1">
        <f t="shared" si="55"/>
        <v>0.99720129886308</v>
      </c>
      <c r="S444" s="4">
        <f t="shared" si="48"/>
        <v>0.931216931216931</v>
      </c>
      <c r="T444" s="4">
        <f t="shared" si="49"/>
        <v>1.48098283406261</v>
      </c>
      <c r="U444" s="4">
        <f t="shared" si="50"/>
        <v>0.65359477124183</v>
      </c>
      <c r="V444" s="4">
        <f t="shared" si="51"/>
        <v>0.613411403875645</v>
      </c>
      <c r="W444" s="4">
        <f t="shared" si="52"/>
        <v>1.00801832760596</v>
      </c>
    </row>
    <row r="445" spans="1:23">
      <c r="A445" s="5" t="s">
        <v>462</v>
      </c>
      <c r="B445" s="5">
        <v>108384</v>
      </c>
      <c r="C445" s="5">
        <v>108384</v>
      </c>
      <c r="D445" s="5">
        <v>10167624</v>
      </c>
      <c r="E445" s="5">
        <v>195.244</v>
      </c>
      <c r="F445" s="5">
        <v>145.836</v>
      </c>
      <c r="G445" s="5">
        <v>152.915</v>
      </c>
      <c r="H445" s="5">
        <v>91.182</v>
      </c>
      <c r="I445" s="5">
        <v>85.953</v>
      </c>
      <c r="J445" s="5">
        <v>99.308</v>
      </c>
      <c r="K445" s="5">
        <v>10167624</v>
      </c>
      <c r="L445" s="5">
        <v>10193088</v>
      </c>
      <c r="M445" s="6">
        <f t="shared" si="53"/>
        <v>1.00250441991167</v>
      </c>
      <c r="N445" s="5">
        <v>11518728</v>
      </c>
      <c r="O445" s="6">
        <f t="shared" si="54"/>
        <v>1.13288296262726</v>
      </c>
      <c r="P445" s="5">
        <v>5192196</v>
      </c>
      <c r="Q445" s="1">
        <f t="shared" si="55"/>
        <v>0.510659717550531</v>
      </c>
      <c r="S445" s="4">
        <f t="shared" si="48"/>
        <v>1.33879151924079</v>
      </c>
      <c r="T445" s="4">
        <f t="shared" si="49"/>
        <v>1.27681391622797</v>
      </c>
      <c r="U445" s="4">
        <f t="shared" si="50"/>
        <v>2.14125594963918</v>
      </c>
      <c r="V445" s="4">
        <f t="shared" si="51"/>
        <v>2.27152048212395</v>
      </c>
      <c r="W445" s="4">
        <f t="shared" si="52"/>
        <v>1.9660450316188</v>
      </c>
    </row>
    <row r="446" spans="1:23">
      <c r="S446" s="4"/>
      <c r="T446" s="4"/>
      <c r="U446" s="4"/>
      <c r="V446" s="4"/>
      <c r="W446" s="4"/>
    </row>
    <row r="447" spans="1:23">
      <c r="K447" s="7" t="s">
        <v>463</v>
      </c>
      <c r="L447" s="4"/>
      <c r="M447" s="8"/>
      <c r="N447" s="4"/>
      <c r="O447" s="8"/>
      <c r="P447" s="4"/>
      <c r="Q447" s="8"/>
      <c r="S447" s="4" t="s">
        <v>464</v>
      </c>
      <c r="T447" s="4"/>
      <c r="U447" s="4"/>
      <c r="V447" s="4"/>
      <c r="W447" s="4"/>
    </row>
    <row r="448" spans="1:23">
      <c r="K448" s="4" t="s">
        <v>14</v>
      </c>
      <c r="L448" s="4"/>
      <c r="M448" s="8" t="s">
        <v>15</v>
      </c>
      <c r="N448" s="4"/>
      <c r="O448" s="8" t="s">
        <v>16</v>
      </c>
      <c r="P448" s="4"/>
      <c r="Q448" s="8" t="s">
        <v>17</v>
      </c>
      <c r="S448" s="4" t="s">
        <v>14</v>
      </c>
      <c r="T448" s="4" t="s">
        <v>15</v>
      </c>
      <c r="U448" s="4" t="s">
        <v>16</v>
      </c>
      <c r="V448" s="4" t="s">
        <v>17</v>
      </c>
      <c r="W448" s="4" t="s">
        <v>18</v>
      </c>
    </row>
    <row r="449" spans="11:23">
      <c r="K449" s="4">
        <v>1</v>
      </c>
      <c r="L449" s="4"/>
      <c r="M449" s="8">
        <f>AVERAGE(M2:M445)</f>
        <v>1.0236099469136</v>
      </c>
      <c r="N449" s="4"/>
      <c r="O449" s="8">
        <f t="shared" ref="O449:W449" si="56">AVERAGE(O2:O445)</f>
        <v>2.07857354925557</v>
      </c>
      <c r="P449" s="4"/>
      <c r="Q449" s="8">
        <f t="shared" si="56"/>
        <v>0.631948066411527</v>
      </c>
      <c r="S449" s="4">
        <f>AVERAGE(S2:S445)</f>
        <v>1.09283315510467</v>
      </c>
      <c r="T449" s="4">
        <f t="shared" si="56"/>
        <v>1.41714289917555</v>
      </c>
      <c r="U449" s="4">
        <f t="shared" si="56"/>
        <v>1.22239142465777</v>
      </c>
      <c r="V449" s="4">
        <f t="shared" si="56"/>
        <v>1.36770353220436</v>
      </c>
      <c r="W449" s="4">
        <f t="shared" si="56"/>
        <v>1.31324234221608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杜沁0621</cp:lastModifiedBy>
  <dcterms:created xsi:type="dcterms:W3CDTF">2026-09-29T10:02:00Z</dcterms:created>
  <dcterms:modified xsi:type="dcterms:W3CDTF">2026-09-29T10:09:31Z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59DDCFF8105E433E84307326C7BA211E_12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